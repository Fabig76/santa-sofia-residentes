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Matrículas" sheetId="1" state="visible" r:id="rId1"/>
    <sheet xmlns:r="http://schemas.openxmlformats.org/officeDocument/2006/relationships" name="Apartamentos" sheetId="2" state="visible" r:id="rId2"/>
    <sheet xmlns:r="http://schemas.openxmlformats.org/officeDocument/2006/relationships" name="Parqueade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&quot; m2&quot;"/>
    <numFmt numFmtId="165" formatCode="0.000%"/>
    <numFmt numFmtId="166" formatCode="100.00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sz val="11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/>
      <top style="thin">
        <color rgb="00D3D3D3"/>
      </top>
      <bottom style="thin">
        <color rgb="00D3D3D3"/>
      </bottom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top style="thin">
        <color rgb="00D3D3D3"/>
      </top>
      <bottom style="double">
        <color rgb="001F4E7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center" vertical="center"/>
    </xf>
    <xf numFmtId="0" fontId="2" fillId="6" borderId="7" applyAlignment="1" pivotButton="0" quotePrefix="0" xfId="0">
      <alignment horizontal="left" vertical="center"/>
    </xf>
    <xf numFmtId="3" fontId="2" fillId="6" borderId="7" applyAlignment="1" pivotButton="0" quotePrefix="0" xfId="0">
      <alignment horizontal="center" vertical="center"/>
    </xf>
    <xf numFmtId="164" fontId="2" fillId="6" borderId="7" applyAlignment="1" pivotButton="0" quotePrefix="0" xfId="0">
      <alignment horizontal="right" vertical="center"/>
    </xf>
    <xf numFmtId="166" fontId="2" fillId="6" borderId="7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0" fillId="6" borderId="7" pivotButton="0" quotePrefix="0" xfId="0"/>
    <xf numFmtId="4" fontId="2" fillId="6" borderId="7" applyAlignment="1" pivotButton="0" quotePrefix="0" xfId="0">
      <alignment horizontal="right" vertical="center"/>
    </xf>
    <xf numFmtId="165" fontId="2" fillId="6" borderId="7" applyAlignment="1" pivotButton="0" quotePrefix="0" xfId="0">
      <alignment horizontal="right" vertical="center"/>
    </xf>
    <xf numFmtId="0" fontId="2" fillId="6" borderId="7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7" customWidth="1" min="2" max="2"/>
    <col width="181" customWidth="1" min="3" max="3"/>
    <col width="65" customWidth="1" min="4" max="4"/>
    <col width="92" customWidth="1" min="5" max="5"/>
    <col width="74" customWidth="1" min="6" max="6"/>
  </cols>
  <sheetData>
    <row r="2">
      <c r="B2" s="1" t="inlineStr">
        <is>
          <t>SANTA SOFÍA CLUB RESIDENCIAL</t>
        </is>
      </c>
    </row>
    <row r="3">
      <c r="B3" s="2" t="inlineStr">
        <is>
          <t>SISTEMA DE CONTROL Y REGISTRO DE MATRÍCULAS INMOBILIARIAS</t>
        </is>
      </c>
    </row>
    <row r="4">
      <c r="B4" s="3" t="inlineStr">
        <is>
          <t>Generated Sep 2026 | v1.0 | Base de datos master de la copropiedad</t>
        </is>
      </c>
    </row>
    <row r="6">
      <c r="B6" s="2" t="inlineStr">
        <is>
          <t>RANGOS OFICIALES DE MATRÍCULAS INMOBILIARIAS (SEGÚN ESCRITURAS)</t>
        </is>
      </c>
    </row>
    <row r="7">
      <c r="B7" s="4" t="inlineStr">
        <is>
          <t>Etapa</t>
        </is>
      </c>
      <c r="C7" s="4" t="inlineStr">
        <is>
          <t>Unidades</t>
        </is>
      </c>
      <c r="D7" s="4" t="inlineStr">
        <is>
          <t>Rango de Matrículas</t>
        </is>
      </c>
      <c r="E7" s="4" t="inlineStr">
        <is>
          <t>Tipo de Unidades Incluidas</t>
        </is>
      </c>
      <c r="F7" s="4" t="inlineStr">
        <is>
          <t>Sustento Escritura</t>
        </is>
      </c>
    </row>
    <row r="8">
      <c r="B8" s="5" t="inlineStr">
        <is>
          <t>Etapa I (Fase 1)</t>
        </is>
      </c>
      <c r="C8" s="5" t="inlineStr">
        <is>
          <t>313 Unidades</t>
        </is>
      </c>
      <c r="D8" s="6" t="inlineStr">
        <is>
          <t>280-214831 al 280-215143</t>
        </is>
      </c>
      <c r="E8" s="6" t="inlineStr">
        <is>
          <t>116 Apartamentos (Bloques 3 y 4) + 105 Parqueaderos de Carros + 92 Parqueaderos de Motos</t>
        </is>
      </c>
      <c r="F8" s="6" t="inlineStr">
        <is>
          <t>Escritura Pública No. 1020 de 2016 y RPH Inicial</t>
        </is>
      </c>
    </row>
    <row r="9">
      <c r="B9" s="5" t="inlineStr">
        <is>
          <t>Etapa II (Fase 2)</t>
        </is>
      </c>
      <c r="C9" s="5" t="inlineStr">
        <is>
          <t>144 Unidades</t>
        </is>
      </c>
      <c r="D9" s="6" t="inlineStr">
        <is>
          <t>Se abren desde el Folio Matriz 280-214824</t>
        </is>
      </c>
      <c r="E9" s="6" t="inlineStr">
        <is>
          <t>112 Apartamentos (Bloques 1 y 2) + 32 Parqueaderos de Motos</t>
        </is>
      </c>
      <c r="F9" s="6" t="inlineStr">
        <is>
          <t>Escritura Pública No. 2700 de 2018 (Adición RPH)</t>
        </is>
      </c>
    </row>
    <row r="12">
      <c r="B12" s="2" t="inlineStr">
        <is>
          <t>CONVENCIÓN DE COLORES PARA LA ADMINISTRACIÓN</t>
        </is>
      </c>
    </row>
    <row r="13">
      <c r="B13" s="7" t="inlineStr">
        <is>
          <t>Celda de Entrada (Light Blue)</t>
        </is>
      </c>
      <c r="C13" s="6" t="inlineStr">
        <is>
          <t>Indica que es un campo editable. Aquí la administración debe digitar el número de matrícula inmobiliaria individual de la unidad una vez se verifique en su respectiva escritura.</t>
        </is>
      </c>
      <c r="D13" s="8" t="n"/>
      <c r="E13" s="8" t="n"/>
      <c r="F13" s="9" t="n"/>
    </row>
    <row r="14">
      <c r="B14" s="10" t="inlineStr">
        <is>
          <t>Celda Calculada (Light Green)</t>
        </is>
      </c>
      <c r="C14" s="6" t="inlineStr">
        <is>
          <t>Indica que es una celda automática con fórmulas. No debe ser modificada manualmente.</t>
        </is>
      </c>
      <c r="D14" s="8" t="n"/>
      <c r="E14" s="8" t="n"/>
      <c r="F14" s="9" t="n"/>
    </row>
    <row r="17">
      <c r="B17" s="2" t="inlineStr">
        <is>
          <t>ESTADÍSTICAS GENERALES DE UNIDADES PRIVADAS</t>
        </is>
      </c>
    </row>
    <row r="18">
      <c r="B18" s="11" t="inlineStr">
        <is>
          <t>Tipo de Unidad</t>
        </is>
      </c>
      <c r="C18" s="11" t="inlineStr">
        <is>
          <t>Cantidad</t>
        </is>
      </c>
      <c r="D18" s="11" t="inlineStr">
        <is>
          <t>Área Privada Total</t>
        </is>
      </c>
      <c r="E18" s="11" t="inlineStr">
        <is>
          <t>Coeficiente de Participación Total</t>
        </is>
      </c>
      <c r="F18" s="11" t="inlineStr">
        <is>
          <t>Matrículas Registradas</t>
        </is>
      </c>
    </row>
    <row r="19">
      <c r="B19" s="6" t="inlineStr">
        <is>
          <t>Apartamentos Torre 1 (Bloques 1, 2, 3 y 4)</t>
        </is>
      </c>
      <c r="C19" s="12">
        <f>COUNTA(Apartamentos!B6:B233)</f>
        <v/>
      </c>
      <c r="D19" s="13">
        <f>SUM(Apartamentos!E6:E233)</f>
        <v/>
      </c>
      <c r="E19" s="14">
        <f>SUM(Apartamentos!G6:G233)</f>
        <v/>
      </c>
      <c r="F19" s="15">
        <f>COUNTIF(Apartamentos!H6:H233, "&lt;&gt;")</f>
        <v/>
      </c>
    </row>
    <row r="20">
      <c r="B20" s="6" t="inlineStr">
        <is>
          <t>Parqueaderos de Carros Privados</t>
        </is>
      </c>
      <c r="C20" s="12">
        <f>COUNTIF(Parqueaderos!B6:B233, "Carro *")</f>
        <v/>
      </c>
      <c r="D20" s="13">
        <f>SUMIF(Parqueaderos!B6:B233, "Carro *", Parqueaderos!D6:D233)</f>
        <v/>
      </c>
      <c r="E20" s="14">
        <f>SUMIF(Parqueaderos!B6:B233, "Carro *", Parqueaderos!F6:F233)</f>
        <v/>
      </c>
      <c r="F20" s="15">
        <f>COUNTIFS(Parqueaderos!B6:B233, "Carro *", Parqueaderos!G6:G233, "&lt;&gt;")</f>
        <v/>
      </c>
    </row>
    <row r="21">
      <c r="B21" s="6" t="inlineStr">
        <is>
          <t>Parqueaderos de Motos Privados</t>
        </is>
      </c>
      <c r="C21" s="12">
        <f>COUNTIF(Parqueaderos!B6:B233, "Moto *")</f>
        <v/>
      </c>
      <c r="D21" s="13">
        <f>SUMIF(Parqueaderos!B6:B233, "Moto *", Parqueaderos!D6:D233)</f>
        <v/>
      </c>
      <c r="E21" s="14">
        <f>SUMIF(Parqueaderos!B6:B233, "Moto *", Parqueaderos!F6:F233)</f>
        <v/>
      </c>
      <c r="F21" s="15">
        <f>COUNTIFS(Parqueaderos!B6:B233, "Moto *", Parqueaderos!G6:G233, "&lt;&gt;")</f>
        <v/>
      </c>
    </row>
    <row r="22">
      <c r="B22" s="16" t="inlineStr">
        <is>
          <t>Gran Total Copropiedad</t>
        </is>
      </c>
      <c r="C22" s="17">
        <f>SUM(C19:C21)</f>
        <v/>
      </c>
      <c r="D22" s="18">
        <f>SUM(D19:D21)</f>
        <v/>
      </c>
      <c r="E22" s="19">
        <f>SUM(E19:E21)</f>
        <v/>
      </c>
      <c r="F22" s="17">
        <f>SUM(F19:F21)</f>
        <v/>
      </c>
    </row>
  </sheetData>
  <mergeCells count="2">
    <mergeCell ref="C13:F13"/>
    <mergeCell ref="C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34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5" customWidth="1" min="3" max="3"/>
    <col width="15" customWidth="1" min="4" max="4"/>
    <col width="21" customWidth="1" min="5" max="5"/>
    <col width="25" customWidth="1" min="6" max="6"/>
    <col width="25" customWidth="1" min="7" max="7"/>
    <col width="41" customWidth="1" min="8" max="8"/>
    <col width="82" customWidth="1" min="9" max="9"/>
  </cols>
  <sheetData>
    <row r="2">
      <c r="B2" s="1" t="inlineStr">
        <is>
          <t>BASE DE DATOS DE APARTAMENTOS Y REGISTRO DE MATRÍCULAS</t>
        </is>
      </c>
    </row>
    <row r="3">
      <c r="B3" s="3" t="inlineStr">
        <is>
          <t>Nota: Los coeficientes están actualizados según la Adición por Etapas de la Ley 675.</t>
        </is>
      </c>
    </row>
    <row r="5">
      <c r="B5" s="20" t="inlineStr">
        <is>
          <t>Bloque</t>
        </is>
      </c>
      <c r="C5" s="20" t="inlineStr">
        <is>
          <t>Apto</t>
        </is>
      </c>
      <c r="D5" s="20" t="inlineStr">
        <is>
          <t>Piso</t>
        </is>
      </c>
      <c r="E5" s="20" t="inlineStr">
        <is>
          <t>Área Privada (m2)</t>
        </is>
      </c>
      <c r="F5" s="20" t="inlineStr">
        <is>
          <t>Coeficiente Prov.</t>
        </is>
      </c>
      <c r="G5" s="20" t="inlineStr">
        <is>
          <t>Coeficiente Integrado</t>
        </is>
      </c>
      <c r="H5" s="20" t="inlineStr">
        <is>
          <t>Matrícula Inmobiliaria (Digitar aquí)</t>
        </is>
      </c>
      <c r="I5" s="20" t="inlineStr">
        <is>
          <t>Estado del Folio</t>
        </is>
      </c>
    </row>
    <row r="6">
      <c r="B6" s="5" t="inlineStr">
        <is>
          <t>Bloque 3</t>
        </is>
      </c>
      <c r="C6" s="21" t="n">
        <v>311</v>
      </c>
      <c r="D6" s="5" t="n">
        <v>1</v>
      </c>
      <c r="E6" s="22" t="n">
        <v>47.1</v>
      </c>
      <c r="F6" s="14" t="n">
        <v>0.006909999999999999</v>
      </c>
      <c r="G6" s="14" t="n">
        <v>0.00375</v>
      </c>
      <c r="H6" s="23" t="inlineStr">
        <is>
          <t>280-214831</t>
        </is>
      </c>
      <c r="I6" s="24">
        <f>IF(H6="","PENDIENTE",IF(LEFT(H6,10)="280-21XXXX","REVISAR","CONFIRMADO"))</f>
        <v/>
      </c>
    </row>
    <row r="7">
      <c r="B7" s="25" t="inlineStr">
        <is>
          <t>Bloque 3</t>
        </is>
      </c>
      <c r="C7" s="26" t="n">
        <v>312</v>
      </c>
      <c r="D7" s="25" t="n">
        <v>1</v>
      </c>
      <c r="E7" s="27" t="n">
        <v>51.11</v>
      </c>
      <c r="F7" s="28" t="n">
        <v>0.007498</v>
      </c>
      <c r="G7" s="28" t="n">
        <v>0.00407</v>
      </c>
      <c r="H7" s="23" t="inlineStr">
        <is>
          <t>280-214832</t>
        </is>
      </c>
      <c r="I7" s="26">
        <f>IF(H7="","PENDIENTE",IF(LEFT(H7,10)="280-21XXXX","REVISAR","CONFIRMADO"))</f>
        <v/>
      </c>
    </row>
    <row r="8">
      <c r="B8" s="5" t="inlineStr">
        <is>
          <t>Bloque 3</t>
        </is>
      </c>
      <c r="C8" s="21" t="n">
        <v>313</v>
      </c>
      <c r="D8" s="5" t="n">
        <v>1</v>
      </c>
      <c r="E8" s="22" t="n">
        <v>51.11</v>
      </c>
      <c r="F8" s="14" t="n">
        <v>0.007498</v>
      </c>
      <c r="G8" s="14" t="n">
        <v>0.00407</v>
      </c>
      <c r="H8" s="23" t="inlineStr">
        <is>
          <t>280-214833</t>
        </is>
      </c>
      <c r="I8" s="24">
        <f>IF(H8="","PENDIENTE",IF(LEFT(H8,10)="280-21XXXX","REVISAR","CONFIRMADO"))</f>
        <v/>
      </c>
    </row>
    <row r="9">
      <c r="B9" s="25" t="inlineStr">
        <is>
          <t>Bloque 3</t>
        </is>
      </c>
      <c r="C9" s="26" t="n">
        <v>314</v>
      </c>
      <c r="D9" s="25" t="n">
        <v>1</v>
      </c>
      <c r="E9" s="27" t="n">
        <v>47.1</v>
      </c>
      <c r="F9" s="28" t="n">
        <v>0.006909999999999999</v>
      </c>
      <c r="G9" s="28" t="n">
        <v>0.00375</v>
      </c>
      <c r="H9" s="23" t="inlineStr">
        <is>
          <t>280-214834</t>
        </is>
      </c>
      <c r="I9" s="26">
        <f>IF(H9="","PENDIENTE",IF(LEFT(H9,10)="280-21XXXX","REVISAR","CONFIRMADO"))</f>
        <v/>
      </c>
    </row>
    <row r="10">
      <c r="B10" s="5" t="inlineStr">
        <is>
          <t>Bloque 3</t>
        </is>
      </c>
      <c r="C10" s="21" t="n">
        <v>321</v>
      </c>
      <c r="D10" s="5" t="n">
        <v>2</v>
      </c>
      <c r="E10" s="22" t="n">
        <v>47.1</v>
      </c>
      <c r="F10" s="14" t="n">
        <v>0.006909999999999999</v>
      </c>
      <c r="G10" s="14" t="n">
        <v>0.00375</v>
      </c>
      <c r="H10" s="23" t="inlineStr">
        <is>
          <t>280-214835</t>
        </is>
      </c>
      <c r="I10" s="24">
        <f>IF(H10="","PENDIENTE",IF(LEFT(H10,10)="280-21XXXX","REVISAR","CONFIRMADO"))</f>
        <v/>
      </c>
    </row>
    <row r="11">
      <c r="B11" s="25" t="inlineStr">
        <is>
          <t>Bloque 3</t>
        </is>
      </c>
      <c r="C11" s="26" t="n">
        <v>322</v>
      </c>
      <c r="D11" s="25" t="n">
        <v>2</v>
      </c>
      <c r="E11" s="27" t="n">
        <v>51.11</v>
      </c>
      <c r="F11" s="28" t="n">
        <v>0.007498</v>
      </c>
      <c r="G11" s="28" t="n">
        <v>0.00407</v>
      </c>
      <c r="H11" s="23" t="inlineStr">
        <is>
          <t>280-214836</t>
        </is>
      </c>
      <c r="I11" s="26">
        <f>IF(H11="","PENDIENTE",IF(LEFT(H11,10)="280-21XXXX","REVISAR","CONFIRMADO"))</f>
        <v/>
      </c>
    </row>
    <row r="12">
      <c r="B12" s="5" t="inlineStr">
        <is>
          <t>Bloque 3</t>
        </is>
      </c>
      <c r="C12" s="21" t="n">
        <v>323</v>
      </c>
      <c r="D12" s="5" t="n">
        <v>2</v>
      </c>
      <c r="E12" s="22" t="n">
        <v>51.11</v>
      </c>
      <c r="F12" s="14" t="n">
        <v>0.007498</v>
      </c>
      <c r="G12" s="14" t="n">
        <v>0.00407</v>
      </c>
      <c r="H12" s="23" t="inlineStr">
        <is>
          <t>280-214837</t>
        </is>
      </c>
      <c r="I12" s="24">
        <f>IF(H12="","PENDIENTE",IF(LEFT(H12,10)="280-21XXXX","REVISAR","CONFIRMADO"))</f>
        <v/>
      </c>
    </row>
    <row r="13">
      <c r="B13" s="25" t="inlineStr">
        <is>
          <t>Bloque 3</t>
        </is>
      </c>
      <c r="C13" s="26" t="n">
        <v>324</v>
      </c>
      <c r="D13" s="25" t="n">
        <v>2</v>
      </c>
      <c r="E13" s="27" t="n">
        <v>47.1</v>
      </c>
      <c r="F13" s="28" t="n">
        <v>0.006909999999999999</v>
      </c>
      <c r="G13" s="28" t="n">
        <v>0.00375</v>
      </c>
      <c r="H13" s="23" t="inlineStr">
        <is>
          <t>280-214838</t>
        </is>
      </c>
      <c r="I13" s="26">
        <f>IF(H13="","PENDIENTE",IF(LEFT(H13,10)="280-21XXXX","REVISAR","CONFIRMADO"))</f>
        <v/>
      </c>
    </row>
    <row r="14">
      <c r="B14" s="5" t="inlineStr">
        <is>
          <t>Bloque 3</t>
        </is>
      </c>
      <c r="C14" s="21" t="n">
        <v>331</v>
      </c>
      <c r="D14" s="5" t="n">
        <v>3</v>
      </c>
      <c r="E14" s="22" t="n">
        <v>47.1</v>
      </c>
      <c r="F14" s="14" t="n">
        <v>0.006909999999999999</v>
      </c>
      <c r="G14" s="14" t="n">
        <v>0.00375</v>
      </c>
      <c r="H14" s="23" t="inlineStr">
        <is>
          <t>280-214839</t>
        </is>
      </c>
      <c r="I14" s="24">
        <f>IF(H14="","PENDIENTE",IF(LEFT(H14,10)="280-21XXXX","REVISAR","CONFIRMADO"))</f>
        <v/>
      </c>
    </row>
    <row r="15">
      <c r="B15" s="25" t="inlineStr">
        <is>
          <t>Bloque 3</t>
        </is>
      </c>
      <c r="C15" s="26" t="n">
        <v>332</v>
      </c>
      <c r="D15" s="25" t="n">
        <v>3</v>
      </c>
      <c r="E15" s="27" t="n">
        <v>51.11</v>
      </c>
      <c r="F15" s="28" t="n">
        <v>0.007498</v>
      </c>
      <c r="G15" s="28" t="n">
        <v>0.00407</v>
      </c>
      <c r="H15" s="23" t="inlineStr">
        <is>
          <t>280-214840</t>
        </is>
      </c>
      <c r="I15" s="26">
        <f>IF(H15="","PENDIENTE",IF(LEFT(H15,10)="280-21XXXX","REVISAR","CONFIRMADO"))</f>
        <v/>
      </c>
    </row>
    <row r="16">
      <c r="B16" s="5" t="inlineStr">
        <is>
          <t>Bloque 3</t>
        </is>
      </c>
      <c r="C16" s="21" t="n">
        <v>333</v>
      </c>
      <c r="D16" s="5" t="n">
        <v>3</v>
      </c>
      <c r="E16" s="22" t="n">
        <v>51.11</v>
      </c>
      <c r="F16" s="14" t="n">
        <v>0.007498</v>
      </c>
      <c r="G16" s="14" t="n">
        <v>0.00407</v>
      </c>
      <c r="H16" s="23" t="inlineStr">
        <is>
          <t>280-214841</t>
        </is>
      </c>
      <c r="I16" s="24">
        <f>IF(H16="","PENDIENTE",IF(LEFT(H16,10)="280-21XXXX","REVISAR","CONFIRMADO"))</f>
        <v/>
      </c>
    </row>
    <row r="17">
      <c r="B17" s="25" t="inlineStr">
        <is>
          <t>Bloque 3</t>
        </is>
      </c>
      <c r="C17" s="26" t="n">
        <v>334</v>
      </c>
      <c r="D17" s="25" t="n">
        <v>3</v>
      </c>
      <c r="E17" s="27" t="n">
        <v>47.1</v>
      </c>
      <c r="F17" s="28" t="n">
        <v>0.006909999999999999</v>
      </c>
      <c r="G17" s="28" t="n">
        <v>0.00375</v>
      </c>
      <c r="H17" s="23" t="inlineStr">
        <is>
          <t>280-214842</t>
        </is>
      </c>
      <c r="I17" s="26">
        <f>IF(H17="","PENDIENTE",IF(LEFT(H17,10)="280-21XXXX","REVISAR","CONFIRMADO"))</f>
        <v/>
      </c>
    </row>
    <row r="18">
      <c r="B18" s="5" t="inlineStr">
        <is>
          <t>Bloque 3</t>
        </is>
      </c>
      <c r="C18" s="21" t="n">
        <v>341</v>
      </c>
      <c r="D18" s="5" t="n">
        <v>4</v>
      </c>
      <c r="E18" s="22" t="n">
        <v>47.1</v>
      </c>
      <c r="F18" s="14" t="n">
        <v>0.006909999999999999</v>
      </c>
      <c r="G18" s="14" t="n">
        <v>0.00375</v>
      </c>
      <c r="H18" s="23" t="inlineStr">
        <is>
          <t>280-214843</t>
        </is>
      </c>
      <c r="I18" s="24">
        <f>IF(H18="","PENDIENTE",IF(LEFT(H18,10)="280-21XXXX","REVISAR","CONFIRMADO"))</f>
        <v/>
      </c>
    </row>
    <row r="19">
      <c r="B19" s="25" t="inlineStr">
        <is>
          <t>Bloque 3</t>
        </is>
      </c>
      <c r="C19" s="26" t="n">
        <v>342</v>
      </c>
      <c r="D19" s="25" t="n">
        <v>4</v>
      </c>
      <c r="E19" s="27" t="n">
        <v>51.11</v>
      </c>
      <c r="F19" s="28" t="n">
        <v>0.007498</v>
      </c>
      <c r="G19" s="28" t="n">
        <v>0.00407</v>
      </c>
      <c r="H19" s="23" t="inlineStr">
        <is>
          <t>280-214844</t>
        </is>
      </c>
      <c r="I19" s="26">
        <f>IF(H19="","PENDIENTE",IF(LEFT(H19,10)="280-21XXXX","REVISAR","CONFIRMADO"))</f>
        <v/>
      </c>
    </row>
    <row r="20">
      <c r="B20" s="5" t="inlineStr">
        <is>
          <t>Bloque 3</t>
        </is>
      </c>
      <c r="C20" s="21" t="n">
        <v>343</v>
      </c>
      <c r="D20" s="5" t="n">
        <v>4</v>
      </c>
      <c r="E20" s="22" t="n">
        <v>51.11</v>
      </c>
      <c r="F20" s="14" t="n">
        <v>0.007498</v>
      </c>
      <c r="G20" s="14" t="n">
        <v>0.00407</v>
      </c>
      <c r="H20" s="23" t="inlineStr">
        <is>
          <t>280-214845</t>
        </is>
      </c>
      <c r="I20" s="24">
        <f>IF(H20="","PENDIENTE",IF(LEFT(H20,10)="280-21XXXX","REVISAR","CONFIRMADO"))</f>
        <v/>
      </c>
    </row>
    <row r="21">
      <c r="B21" s="25" t="inlineStr">
        <is>
          <t>Bloque 3</t>
        </is>
      </c>
      <c r="C21" s="26" t="n">
        <v>344</v>
      </c>
      <c r="D21" s="25" t="n">
        <v>4</v>
      </c>
      <c r="E21" s="27" t="n">
        <v>47.1</v>
      </c>
      <c r="F21" s="28" t="n">
        <v>0.006909999999999999</v>
      </c>
      <c r="G21" s="28" t="n">
        <v>0.00375</v>
      </c>
      <c r="H21" s="23" t="inlineStr">
        <is>
          <t>280-214846</t>
        </is>
      </c>
      <c r="I21" s="26">
        <f>IF(H21="","PENDIENTE",IF(LEFT(H21,10)="280-21XXXX","REVISAR","CONFIRMADO"))</f>
        <v/>
      </c>
    </row>
    <row r="22">
      <c r="B22" s="5" t="inlineStr">
        <is>
          <t>Bloque 3</t>
        </is>
      </c>
      <c r="C22" s="21" t="n">
        <v>351</v>
      </c>
      <c r="D22" s="5" t="n">
        <v>5</v>
      </c>
      <c r="E22" s="22" t="n">
        <v>47.1</v>
      </c>
      <c r="F22" s="14" t="n">
        <v>0.006909999999999999</v>
      </c>
      <c r="G22" s="14" t="n">
        <v>0.00375</v>
      </c>
      <c r="H22" s="23" t="inlineStr">
        <is>
          <t>280-214847</t>
        </is>
      </c>
      <c r="I22" s="24">
        <f>IF(H22="","PENDIENTE",IF(LEFT(H22,10)="280-21XXXX","REVISAR","CONFIRMADO"))</f>
        <v/>
      </c>
    </row>
    <row r="23">
      <c r="B23" s="25" t="inlineStr">
        <is>
          <t>Bloque 3</t>
        </is>
      </c>
      <c r="C23" s="26" t="n">
        <v>352</v>
      </c>
      <c r="D23" s="25" t="n">
        <v>5</v>
      </c>
      <c r="E23" s="27" t="n">
        <v>51.11</v>
      </c>
      <c r="F23" s="28" t="n">
        <v>0.007498</v>
      </c>
      <c r="G23" s="28" t="n">
        <v>0.00407</v>
      </c>
      <c r="H23" s="23" t="inlineStr">
        <is>
          <t>280-214848</t>
        </is>
      </c>
      <c r="I23" s="26">
        <f>IF(H23="","PENDIENTE",IF(LEFT(H23,10)="280-21XXXX","REVISAR","CONFIRMADO"))</f>
        <v/>
      </c>
    </row>
    <row r="24">
      <c r="B24" s="5" t="inlineStr">
        <is>
          <t>Bloque 3</t>
        </is>
      </c>
      <c r="C24" s="21" t="n">
        <v>353</v>
      </c>
      <c r="D24" s="5" t="n">
        <v>5</v>
      </c>
      <c r="E24" s="22" t="n">
        <v>51.11</v>
      </c>
      <c r="F24" s="14" t="n">
        <v>0.007498</v>
      </c>
      <c r="G24" s="14" t="n">
        <v>0.00407</v>
      </c>
      <c r="H24" s="23" t="inlineStr">
        <is>
          <t>280-214849</t>
        </is>
      </c>
      <c r="I24" s="24">
        <f>IF(H24="","PENDIENTE",IF(LEFT(H24,10)="280-21XXXX","REVISAR","CONFIRMADO"))</f>
        <v/>
      </c>
    </row>
    <row r="25">
      <c r="B25" s="25" t="inlineStr">
        <is>
          <t>Bloque 3</t>
        </is>
      </c>
      <c r="C25" s="26" t="n">
        <v>354</v>
      </c>
      <c r="D25" s="25" t="n">
        <v>5</v>
      </c>
      <c r="E25" s="27" t="n">
        <v>47.1</v>
      </c>
      <c r="F25" s="28" t="n">
        <v>0.006909999999999999</v>
      </c>
      <c r="G25" s="28" t="n">
        <v>0.00375</v>
      </c>
      <c r="H25" s="23" t="inlineStr">
        <is>
          <t>280-214850</t>
        </is>
      </c>
      <c r="I25" s="26">
        <f>IF(H25="","PENDIENTE",IF(LEFT(H25,10)="280-21XXXX","REVISAR","CONFIRMADO"))</f>
        <v/>
      </c>
    </row>
    <row r="26">
      <c r="B26" s="5" t="inlineStr">
        <is>
          <t>Bloque 3</t>
        </is>
      </c>
      <c r="C26" s="21" t="n">
        <v>361</v>
      </c>
      <c r="D26" s="5" t="n">
        <v>6</v>
      </c>
      <c r="E26" s="22" t="n">
        <v>47.1</v>
      </c>
      <c r="F26" s="14" t="n">
        <v>0.006909999999999999</v>
      </c>
      <c r="G26" s="14" t="n">
        <v>0.00375</v>
      </c>
      <c r="H26" s="23" t="inlineStr">
        <is>
          <t>280-214851</t>
        </is>
      </c>
      <c r="I26" s="24">
        <f>IF(H26="","PENDIENTE",IF(LEFT(H26,10)="280-21XXXX","REVISAR","CONFIRMADO"))</f>
        <v/>
      </c>
    </row>
    <row r="27">
      <c r="B27" s="25" t="inlineStr">
        <is>
          <t>Bloque 3</t>
        </is>
      </c>
      <c r="C27" s="26" t="n">
        <v>362</v>
      </c>
      <c r="D27" s="25" t="n">
        <v>6</v>
      </c>
      <c r="E27" s="27" t="n">
        <v>51.11</v>
      </c>
      <c r="F27" s="28" t="n">
        <v>0.007498</v>
      </c>
      <c r="G27" s="28" t="n">
        <v>0.00407</v>
      </c>
      <c r="H27" s="23" t="inlineStr">
        <is>
          <t>280-214852</t>
        </is>
      </c>
      <c r="I27" s="26">
        <f>IF(H27="","PENDIENTE",IF(LEFT(H27,10)="280-21XXXX","REVISAR","CONFIRMADO"))</f>
        <v/>
      </c>
    </row>
    <row r="28">
      <c r="B28" s="5" t="inlineStr">
        <is>
          <t>Bloque 3</t>
        </is>
      </c>
      <c r="C28" s="21" t="n">
        <v>363</v>
      </c>
      <c r="D28" s="5" t="n">
        <v>6</v>
      </c>
      <c r="E28" s="22" t="n">
        <v>51.11</v>
      </c>
      <c r="F28" s="14" t="n">
        <v>0.007498</v>
      </c>
      <c r="G28" s="14" t="n">
        <v>0.00407</v>
      </c>
      <c r="H28" s="23" t="inlineStr">
        <is>
          <t>280-214853</t>
        </is>
      </c>
      <c r="I28" s="24">
        <f>IF(H28="","PENDIENTE",IF(LEFT(H28,10)="280-21XXXX","REVISAR","CONFIRMADO"))</f>
        <v/>
      </c>
    </row>
    <row r="29">
      <c r="B29" s="25" t="inlineStr">
        <is>
          <t>Bloque 3</t>
        </is>
      </c>
      <c r="C29" s="26" t="n">
        <v>364</v>
      </c>
      <c r="D29" s="25" t="n">
        <v>6</v>
      </c>
      <c r="E29" s="27" t="n">
        <v>47.1</v>
      </c>
      <c r="F29" s="28" t="n">
        <v>0.006909999999999999</v>
      </c>
      <c r="G29" s="28" t="n">
        <v>0.00375</v>
      </c>
      <c r="H29" s="23" t="inlineStr">
        <is>
          <t>280-214854</t>
        </is>
      </c>
      <c r="I29" s="26">
        <f>IF(H29="","PENDIENTE",IF(LEFT(H29,10)="280-21XXXX","REVISAR","CONFIRMADO"))</f>
        <v/>
      </c>
    </row>
    <row r="30">
      <c r="B30" s="5" t="inlineStr">
        <is>
          <t>Bloque 3</t>
        </is>
      </c>
      <c r="C30" s="21" t="n">
        <v>371</v>
      </c>
      <c r="D30" s="5" t="n">
        <v>7</v>
      </c>
      <c r="E30" s="22" t="n">
        <v>47.1</v>
      </c>
      <c r="F30" s="14" t="n">
        <v>0.006909999999999999</v>
      </c>
      <c r="G30" s="14" t="n">
        <v>0.00375</v>
      </c>
      <c r="H30" s="23" t="inlineStr">
        <is>
          <t>280-214855</t>
        </is>
      </c>
      <c r="I30" s="24">
        <f>IF(H30="","PENDIENTE",IF(LEFT(H30,10)="280-21XXXX","REVISAR","CONFIRMADO"))</f>
        <v/>
      </c>
    </row>
    <row r="31">
      <c r="B31" s="25" t="inlineStr">
        <is>
          <t>Bloque 3</t>
        </is>
      </c>
      <c r="C31" s="26" t="n">
        <v>372</v>
      </c>
      <c r="D31" s="25" t="n">
        <v>7</v>
      </c>
      <c r="E31" s="27" t="n">
        <v>51.11</v>
      </c>
      <c r="F31" s="28" t="n">
        <v>0.007498</v>
      </c>
      <c r="G31" s="28" t="n">
        <v>0.00407</v>
      </c>
      <c r="H31" s="23" t="inlineStr">
        <is>
          <t>280-214856</t>
        </is>
      </c>
      <c r="I31" s="26">
        <f>IF(H31="","PENDIENTE",IF(LEFT(H31,10)="280-21XXXX","REVISAR","CONFIRMADO"))</f>
        <v/>
      </c>
    </row>
    <row r="32">
      <c r="B32" s="5" t="inlineStr">
        <is>
          <t>Bloque 3</t>
        </is>
      </c>
      <c r="C32" s="21" t="n">
        <v>373</v>
      </c>
      <c r="D32" s="5" t="n">
        <v>7</v>
      </c>
      <c r="E32" s="22" t="n">
        <v>51.11</v>
      </c>
      <c r="F32" s="14" t="n">
        <v>0.007498</v>
      </c>
      <c r="G32" s="14" t="n">
        <v>0.00407</v>
      </c>
      <c r="H32" s="23" t="inlineStr">
        <is>
          <t>280-214857</t>
        </is>
      </c>
      <c r="I32" s="24">
        <f>IF(H32="","PENDIENTE",IF(LEFT(H32,10)="280-21XXXX","REVISAR","CONFIRMADO"))</f>
        <v/>
      </c>
    </row>
    <row r="33">
      <c r="B33" s="25" t="inlineStr">
        <is>
          <t>Bloque 3</t>
        </is>
      </c>
      <c r="C33" s="26" t="n">
        <v>374</v>
      </c>
      <c r="D33" s="25" t="n">
        <v>7</v>
      </c>
      <c r="E33" s="27" t="n">
        <v>47.1</v>
      </c>
      <c r="F33" s="28" t="n">
        <v>0.006909999999999999</v>
      </c>
      <c r="G33" s="28" t="n">
        <v>0.00375</v>
      </c>
      <c r="H33" s="23" t="inlineStr">
        <is>
          <t>280-214858</t>
        </is>
      </c>
      <c r="I33" s="26">
        <f>IF(H33="","PENDIENTE",IF(LEFT(H33,10)="280-21XXXX","REVISAR","CONFIRMADO"))</f>
        <v/>
      </c>
    </row>
    <row r="34">
      <c r="B34" s="5" t="inlineStr">
        <is>
          <t>Bloque 3</t>
        </is>
      </c>
      <c r="C34" s="21" t="n">
        <v>381</v>
      </c>
      <c r="D34" s="5" t="n">
        <v>8</v>
      </c>
      <c r="E34" s="22" t="n">
        <v>47.1</v>
      </c>
      <c r="F34" s="14" t="n">
        <v>0.006909999999999999</v>
      </c>
      <c r="G34" s="14" t="n">
        <v>0.00375</v>
      </c>
      <c r="H34" s="23" t="inlineStr">
        <is>
          <t>280-214859</t>
        </is>
      </c>
      <c r="I34" s="24">
        <f>IF(H34="","PENDIENTE",IF(LEFT(H34,10)="280-21XXXX","REVISAR","CONFIRMADO"))</f>
        <v/>
      </c>
    </row>
    <row r="35">
      <c r="B35" s="25" t="inlineStr">
        <is>
          <t>Bloque 3</t>
        </is>
      </c>
      <c r="C35" s="26" t="n">
        <v>382</v>
      </c>
      <c r="D35" s="25" t="n">
        <v>8</v>
      </c>
      <c r="E35" s="27" t="n">
        <v>51.11</v>
      </c>
      <c r="F35" s="28" t="n">
        <v>0.007498</v>
      </c>
      <c r="G35" s="28" t="n">
        <v>0.00407</v>
      </c>
      <c r="H35" s="23" t="inlineStr">
        <is>
          <t>280-214860</t>
        </is>
      </c>
      <c r="I35" s="26">
        <f>IF(H35="","PENDIENTE",IF(LEFT(H35,10)="280-21XXXX","REVISAR","CONFIRMADO"))</f>
        <v/>
      </c>
    </row>
    <row r="36">
      <c r="B36" s="5" t="inlineStr">
        <is>
          <t>Bloque 3</t>
        </is>
      </c>
      <c r="C36" s="21" t="n">
        <v>383</v>
      </c>
      <c r="D36" s="5" t="n">
        <v>8</v>
      </c>
      <c r="E36" s="22" t="n">
        <v>51.11</v>
      </c>
      <c r="F36" s="14" t="n">
        <v>0.007498</v>
      </c>
      <c r="G36" s="14" t="n">
        <v>0.00407</v>
      </c>
      <c r="H36" s="23" t="inlineStr">
        <is>
          <t>280-214861</t>
        </is>
      </c>
      <c r="I36" s="24">
        <f>IF(H36="","PENDIENTE",IF(LEFT(H36,10)="280-21XXXX","REVISAR","CONFIRMADO"))</f>
        <v/>
      </c>
    </row>
    <row r="37">
      <c r="B37" s="25" t="inlineStr">
        <is>
          <t>Bloque 3</t>
        </is>
      </c>
      <c r="C37" s="26" t="n">
        <v>384</v>
      </c>
      <c r="D37" s="25" t="n">
        <v>8</v>
      </c>
      <c r="E37" s="27" t="n">
        <v>47.1</v>
      </c>
      <c r="F37" s="28" t="n">
        <v>0.006909999999999999</v>
      </c>
      <c r="G37" s="28" t="n">
        <v>0.00375</v>
      </c>
      <c r="H37" s="23" t="inlineStr">
        <is>
          <t>280-214862</t>
        </is>
      </c>
      <c r="I37" s="26">
        <f>IF(H37="","PENDIENTE",IF(LEFT(H37,10)="280-21XXXX","REVISAR","CONFIRMADO"))</f>
        <v/>
      </c>
    </row>
    <row r="38">
      <c r="B38" s="5" t="inlineStr">
        <is>
          <t>Bloque 3</t>
        </is>
      </c>
      <c r="C38" s="21" t="n">
        <v>391</v>
      </c>
      <c r="D38" s="5" t="n">
        <v>9</v>
      </c>
      <c r="E38" s="22" t="n">
        <v>47.1</v>
      </c>
      <c r="F38" s="14" t="n">
        <v>0.006909999999999999</v>
      </c>
      <c r="G38" s="14" t="n">
        <v>0.00375</v>
      </c>
      <c r="H38" s="23" t="inlineStr">
        <is>
          <t>280-214863</t>
        </is>
      </c>
      <c r="I38" s="24">
        <f>IF(H38="","PENDIENTE",IF(LEFT(H38,10)="280-21XXXX","REVISAR","CONFIRMADO"))</f>
        <v/>
      </c>
    </row>
    <row r="39">
      <c r="B39" s="25" t="inlineStr">
        <is>
          <t>Bloque 3</t>
        </is>
      </c>
      <c r="C39" s="26" t="n">
        <v>392</v>
      </c>
      <c r="D39" s="25" t="n">
        <v>9</v>
      </c>
      <c r="E39" s="27" t="n">
        <v>51.11</v>
      </c>
      <c r="F39" s="28" t="n">
        <v>0.007498</v>
      </c>
      <c r="G39" s="28" t="n">
        <v>0.00407</v>
      </c>
      <c r="H39" s="23" t="inlineStr">
        <is>
          <t>280-214864</t>
        </is>
      </c>
      <c r="I39" s="26">
        <f>IF(H39="","PENDIENTE",IF(LEFT(H39,10)="280-21XXXX","REVISAR","CONFIRMADO"))</f>
        <v/>
      </c>
    </row>
    <row r="40">
      <c r="B40" s="5" t="inlineStr">
        <is>
          <t>Bloque 3</t>
        </is>
      </c>
      <c r="C40" s="21" t="n">
        <v>393</v>
      </c>
      <c r="D40" s="5" t="n">
        <v>9</v>
      </c>
      <c r="E40" s="22" t="n">
        <v>51.11</v>
      </c>
      <c r="F40" s="14" t="n">
        <v>0.007498</v>
      </c>
      <c r="G40" s="14" t="n">
        <v>0.00407</v>
      </c>
      <c r="H40" s="23" t="inlineStr">
        <is>
          <t>280-214865</t>
        </is>
      </c>
      <c r="I40" s="24">
        <f>IF(H40="","PENDIENTE",IF(LEFT(H40,10)="280-21XXXX","REVISAR","CONFIRMADO"))</f>
        <v/>
      </c>
    </row>
    <row r="41">
      <c r="B41" s="25" t="inlineStr">
        <is>
          <t>Bloque 3</t>
        </is>
      </c>
      <c r="C41" s="26" t="n">
        <v>394</v>
      </c>
      <c r="D41" s="25" t="n">
        <v>9</v>
      </c>
      <c r="E41" s="27" t="n">
        <v>47.1</v>
      </c>
      <c r="F41" s="28" t="n">
        <v>0.006909999999999999</v>
      </c>
      <c r="G41" s="28" t="n">
        <v>0.00375</v>
      </c>
      <c r="H41" s="23" t="inlineStr">
        <is>
          <t>280-214866</t>
        </is>
      </c>
      <c r="I41" s="26">
        <f>IF(H41="","PENDIENTE",IF(LEFT(H41,10)="280-21XXXX","REVISAR","CONFIRMADO"))</f>
        <v/>
      </c>
    </row>
    <row r="42">
      <c r="B42" s="5" t="inlineStr">
        <is>
          <t>Bloque 3</t>
        </is>
      </c>
      <c r="C42" s="21" t="n">
        <v>3101</v>
      </c>
      <c r="D42" s="5" t="n">
        <v>10</v>
      </c>
      <c r="E42" s="22" t="n">
        <v>47.1</v>
      </c>
      <c r="F42" s="14" t="n">
        <v>0.006909999999999999</v>
      </c>
      <c r="G42" s="14" t="n">
        <v>0.00375</v>
      </c>
      <c r="H42" s="23" t="inlineStr">
        <is>
          <t>280-214867</t>
        </is>
      </c>
      <c r="I42" s="24">
        <f>IF(H42="","PENDIENTE",IF(LEFT(H42,10)="280-21XXXX","REVISAR","CONFIRMADO"))</f>
        <v/>
      </c>
    </row>
    <row r="43">
      <c r="B43" s="25" t="inlineStr">
        <is>
          <t>Bloque 3</t>
        </is>
      </c>
      <c r="C43" s="26" t="n">
        <v>3102</v>
      </c>
      <c r="D43" s="25" t="n">
        <v>10</v>
      </c>
      <c r="E43" s="27" t="n">
        <v>51.11</v>
      </c>
      <c r="F43" s="28" t="n">
        <v>0.007498</v>
      </c>
      <c r="G43" s="28" t="n">
        <v>0.00407</v>
      </c>
      <c r="H43" s="23" t="inlineStr">
        <is>
          <t>280-214868</t>
        </is>
      </c>
      <c r="I43" s="26">
        <f>IF(H43="","PENDIENTE",IF(LEFT(H43,10)="280-21XXXX","REVISAR","CONFIRMADO"))</f>
        <v/>
      </c>
    </row>
    <row r="44">
      <c r="B44" s="5" t="inlineStr">
        <is>
          <t>Bloque 3</t>
        </is>
      </c>
      <c r="C44" s="21" t="n">
        <v>3103</v>
      </c>
      <c r="D44" s="5" t="n">
        <v>10</v>
      </c>
      <c r="E44" s="22" t="n">
        <v>51.11</v>
      </c>
      <c r="F44" s="14" t="n">
        <v>0.007498</v>
      </c>
      <c r="G44" s="14" t="n">
        <v>0.00407</v>
      </c>
      <c r="H44" s="23" t="inlineStr">
        <is>
          <t>280-214869</t>
        </is>
      </c>
      <c r="I44" s="24">
        <f>IF(H44="","PENDIENTE",IF(LEFT(H44,10)="280-21XXXX","REVISAR","CONFIRMADO"))</f>
        <v/>
      </c>
    </row>
    <row r="45">
      <c r="B45" s="25" t="inlineStr">
        <is>
          <t>Bloque 3</t>
        </is>
      </c>
      <c r="C45" s="26" t="n">
        <v>3104</v>
      </c>
      <c r="D45" s="25" t="n">
        <v>10</v>
      </c>
      <c r="E45" s="27" t="n">
        <v>47.1</v>
      </c>
      <c r="F45" s="28" t="n">
        <v>0.006909999999999999</v>
      </c>
      <c r="G45" s="28" t="n">
        <v>0.00375</v>
      </c>
      <c r="H45" s="23" t="inlineStr">
        <is>
          <t>280-214870</t>
        </is>
      </c>
      <c r="I45" s="26">
        <f>IF(H45="","PENDIENTE",IF(LEFT(H45,10)="280-21XXXX","REVISAR","CONFIRMADO"))</f>
        <v/>
      </c>
    </row>
    <row r="46">
      <c r="B46" s="5" t="inlineStr">
        <is>
          <t>Bloque 3</t>
        </is>
      </c>
      <c r="C46" s="21" t="n">
        <v>3111</v>
      </c>
      <c r="D46" s="5" t="n">
        <v>11</v>
      </c>
      <c r="E46" s="22" t="n">
        <v>47.1</v>
      </c>
      <c r="F46" s="14" t="n">
        <v>0.006909999999999999</v>
      </c>
      <c r="G46" s="14" t="n">
        <v>0.00375</v>
      </c>
      <c r="H46" s="23" t="inlineStr">
        <is>
          <t>280-214871</t>
        </is>
      </c>
      <c r="I46" s="24">
        <f>IF(H46="","PENDIENTE",IF(LEFT(H46,10)="280-21XXXX","REVISAR","CONFIRMADO"))</f>
        <v/>
      </c>
    </row>
    <row r="47">
      <c r="B47" s="25" t="inlineStr">
        <is>
          <t>Bloque 3</t>
        </is>
      </c>
      <c r="C47" s="26" t="n">
        <v>3112</v>
      </c>
      <c r="D47" s="25" t="n">
        <v>11</v>
      </c>
      <c r="E47" s="27" t="n">
        <v>51.11</v>
      </c>
      <c r="F47" s="28" t="n">
        <v>0.007498</v>
      </c>
      <c r="G47" s="28" t="n">
        <v>0.00407</v>
      </c>
      <c r="H47" s="23" t="inlineStr">
        <is>
          <t>280-214872</t>
        </is>
      </c>
      <c r="I47" s="26">
        <f>IF(H47="","PENDIENTE",IF(LEFT(H47,10)="280-21XXXX","REVISAR","CONFIRMADO"))</f>
        <v/>
      </c>
    </row>
    <row r="48">
      <c r="B48" s="5" t="inlineStr">
        <is>
          <t>Bloque 3</t>
        </is>
      </c>
      <c r="C48" s="21" t="n">
        <v>3113</v>
      </c>
      <c r="D48" s="5" t="n">
        <v>11</v>
      </c>
      <c r="E48" s="22" t="n">
        <v>51.11</v>
      </c>
      <c r="F48" s="14" t="n">
        <v>0.007498</v>
      </c>
      <c r="G48" s="14" t="n">
        <v>0.00407</v>
      </c>
      <c r="H48" s="23" t="inlineStr">
        <is>
          <t>280-214873</t>
        </is>
      </c>
      <c r="I48" s="24">
        <f>IF(H48="","PENDIENTE",IF(LEFT(H48,10)="280-21XXXX","REVISAR","CONFIRMADO"))</f>
        <v/>
      </c>
    </row>
    <row r="49">
      <c r="B49" s="25" t="inlineStr">
        <is>
          <t>Bloque 3</t>
        </is>
      </c>
      <c r="C49" s="26" t="n">
        <v>3114</v>
      </c>
      <c r="D49" s="25" t="n">
        <v>11</v>
      </c>
      <c r="E49" s="27" t="n">
        <v>47.1</v>
      </c>
      <c r="F49" s="28" t="n">
        <v>0.006909999999999999</v>
      </c>
      <c r="G49" s="28" t="n">
        <v>0.00375</v>
      </c>
      <c r="H49" s="23" t="inlineStr">
        <is>
          <t>280-214874</t>
        </is>
      </c>
      <c r="I49" s="26">
        <f>IF(H49="","PENDIENTE",IF(LEFT(H49,10)="280-21XXXX","REVISAR","CONFIRMADO"))</f>
        <v/>
      </c>
    </row>
    <row r="50">
      <c r="B50" s="5" t="inlineStr">
        <is>
          <t>Bloque 3</t>
        </is>
      </c>
      <c r="C50" s="21" t="n">
        <v>3121</v>
      </c>
      <c r="D50" s="5" t="n">
        <v>12</v>
      </c>
      <c r="E50" s="22" t="n">
        <v>47.1</v>
      </c>
      <c r="F50" s="14" t="n">
        <v>0.006909999999999999</v>
      </c>
      <c r="G50" s="14" t="n">
        <v>0.00375</v>
      </c>
      <c r="H50" s="23" t="inlineStr">
        <is>
          <t>280-214875</t>
        </is>
      </c>
      <c r="I50" s="24">
        <f>IF(H50="","PENDIENTE",IF(LEFT(H50,10)="280-21XXXX","REVISAR","CONFIRMADO"))</f>
        <v/>
      </c>
    </row>
    <row r="51">
      <c r="B51" s="25" t="inlineStr">
        <is>
          <t>Bloque 3</t>
        </is>
      </c>
      <c r="C51" s="26" t="n">
        <v>3122</v>
      </c>
      <c r="D51" s="25" t="n">
        <v>12</v>
      </c>
      <c r="E51" s="27" t="n">
        <v>51.11</v>
      </c>
      <c r="F51" s="28" t="n">
        <v>0.007498</v>
      </c>
      <c r="G51" s="28" t="n">
        <v>0.00407</v>
      </c>
      <c r="H51" s="23" t="inlineStr">
        <is>
          <t>280-214876</t>
        </is>
      </c>
      <c r="I51" s="26">
        <f>IF(H51="","PENDIENTE",IF(LEFT(H51,10)="280-21XXXX","REVISAR","CONFIRMADO"))</f>
        <v/>
      </c>
    </row>
    <row r="52">
      <c r="B52" s="5" t="inlineStr">
        <is>
          <t>Bloque 3</t>
        </is>
      </c>
      <c r="C52" s="21" t="n">
        <v>3123</v>
      </c>
      <c r="D52" s="5" t="n">
        <v>12</v>
      </c>
      <c r="E52" s="22" t="n">
        <v>51.11</v>
      </c>
      <c r="F52" s="14" t="n">
        <v>0.007498</v>
      </c>
      <c r="G52" s="14" t="n">
        <v>0.00407</v>
      </c>
      <c r="H52" s="23" t="inlineStr">
        <is>
          <t>280-214877</t>
        </is>
      </c>
      <c r="I52" s="24">
        <f>IF(H52="","PENDIENTE",IF(LEFT(H52,10)="280-21XXXX","REVISAR","CONFIRMADO"))</f>
        <v/>
      </c>
    </row>
    <row r="53">
      <c r="B53" s="25" t="inlineStr">
        <is>
          <t>Bloque 3</t>
        </is>
      </c>
      <c r="C53" s="26" t="n">
        <v>3124</v>
      </c>
      <c r="D53" s="25" t="n">
        <v>12</v>
      </c>
      <c r="E53" s="27" t="n">
        <v>47.1</v>
      </c>
      <c r="F53" s="28" t="n">
        <v>0.006909999999999999</v>
      </c>
      <c r="G53" s="28" t="n">
        <v>0.00375</v>
      </c>
      <c r="H53" s="23" t="inlineStr">
        <is>
          <t>280-214878</t>
        </is>
      </c>
      <c r="I53" s="26">
        <f>IF(H53="","PENDIENTE",IF(LEFT(H53,10)="280-21XXXX","REVISAR","CONFIRMADO"))</f>
        <v/>
      </c>
    </row>
    <row r="54">
      <c r="B54" s="5" t="inlineStr">
        <is>
          <t>Bloque 3</t>
        </is>
      </c>
      <c r="C54" s="21" t="n">
        <v>3131</v>
      </c>
      <c r="D54" s="5" t="n">
        <v>13</v>
      </c>
      <c r="E54" s="22" t="n">
        <v>47.1</v>
      </c>
      <c r="F54" s="14" t="n">
        <v>0.006909999999999999</v>
      </c>
      <c r="G54" s="14" t="n">
        <v>0.00375</v>
      </c>
      <c r="H54" s="23" t="inlineStr">
        <is>
          <t>280-214879</t>
        </is>
      </c>
      <c r="I54" s="24">
        <f>IF(H54="","PENDIENTE",IF(LEFT(H54,10)="280-21XXXX","REVISAR","CONFIRMADO"))</f>
        <v/>
      </c>
    </row>
    <row r="55">
      <c r="B55" s="25" t="inlineStr">
        <is>
          <t>Bloque 3</t>
        </is>
      </c>
      <c r="C55" s="26" t="n">
        <v>3132</v>
      </c>
      <c r="D55" s="25" t="n">
        <v>13</v>
      </c>
      <c r="E55" s="27" t="n">
        <v>51.11</v>
      </c>
      <c r="F55" s="28" t="n">
        <v>0.007498</v>
      </c>
      <c r="G55" s="28" t="n">
        <v>0.00407</v>
      </c>
      <c r="H55" s="23" t="inlineStr">
        <is>
          <t>280-214880</t>
        </is>
      </c>
      <c r="I55" s="26">
        <f>IF(H55="","PENDIENTE",IF(LEFT(H55,10)="280-21XXXX","REVISAR","CONFIRMADO"))</f>
        <v/>
      </c>
    </row>
    <row r="56">
      <c r="B56" s="5" t="inlineStr">
        <is>
          <t>Bloque 3</t>
        </is>
      </c>
      <c r="C56" s="21" t="n">
        <v>3133</v>
      </c>
      <c r="D56" s="5" t="n">
        <v>13</v>
      </c>
      <c r="E56" s="22" t="n">
        <v>51.11</v>
      </c>
      <c r="F56" s="14" t="n">
        <v>0.007498</v>
      </c>
      <c r="G56" s="14" t="n">
        <v>0.00407</v>
      </c>
      <c r="H56" s="23" t="inlineStr">
        <is>
          <t>280-214881</t>
        </is>
      </c>
      <c r="I56" s="24">
        <f>IF(H56="","PENDIENTE",IF(LEFT(H56,10)="280-21XXXX","REVISAR","CONFIRMADO"))</f>
        <v/>
      </c>
    </row>
    <row r="57">
      <c r="B57" s="25" t="inlineStr">
        <is>
          <t>Bloque 3</t>
        </is>
      </c>
      <c r="C57" s="26" t="n">
        <v>3134</v>
      </c>
      <c r="D57" s="25" t="n">
        <v>13</v>
      </c>
      <c r="E57" s="27" t="n">
        <v>47.1</v>
      </c>
      <c r="F57" s="28" t="n">
        <v>0.006909999999999999</v>
      </c>
      <c r="G57" s="28" t="n">
        <v>0.00375</v>
      </c>
      <c r="H57" s="23" t="inlineStr">
        <is>
          <t>280-214882</t>
        </is>
      </c>
      <c r="I57" s="26">
        <f>IF(H57="","PENDIENTE",IF(LEFT(H57,10)="280-21XXXX","REVISAR","CONFIRMADO"))</f>
        <v/>
      </c>
    </row>
    <row r="58">
      <c r="B58" s="5" t="inlineStr">
        <is>
          <t>Bloque 3</t>
        </is>
      </c>
      <c r="C58" s="21" t="n">
        <v>3141</v>
      </c>
      <c r="D58" s="5" t="n">
        <v>14</v>
      </c>
      <c r="E58" s="22" t="n">
        <v>47.1</v>
      </c>
      <c r="F58" s="14" t="n">
        <v>0.006909999999999999</v>
      </c>
      <c r="G58" s="14" t="n">
        <v>0.00375</v>
      </c>
      <c r="H58" s="23" t="inlineStr">
        <is>
          <t>280-214883</t>
        </is>
      </c>
      <c r="I58" s="24">
        <f>IF(H58="","PENDIENTE",IF(LEFT(H58,10)="280-21XXXX","REVISAR","CONFIRMADO"))</f>
        <v/>
      </c>
    </row>
    <row r="59">
      <c r="B59" s="25" t="inlineStr">
        <is>
          <t>Bloque 3</t>
        </is>
      </c>
      <c r="C59" s="26" t="n">
        <v>3142</v>
      </c>
      <c r="D59" s="25" t="n">
        <v>14</v>
      </c>
      <c r="E59" s="27" t="n">
        <v>51.11</v>
      </c>
      <c r="F59" s="28" t="n">
        <v>0.007498</v>
      </c>
      <c r="G59" s="28" t="n">
        <v>0.00407</v>
      </c>
      <c r="H59" s="23" t="inlineStr">
        <is>
          <t>280-214884</t>
        </is>
      </c>
      <c r="I59" s="26">
        <f>IF(H59="","PENDIENTE",IF(LEFT(H59,10)="280-21XXXX","REVISAR","CONFIRMADO"))</f>
        <v/>
      </c>
    </row>
    <row r="60">
      <c r="B60" s="5" t="inlineStr">
        <is>
          <t>Bloque 3</t>
        </is>
      </c>
      <c r="C60" s="21" t="n">
        <v>3143</v>
      </c>
      <c r="D60" s="5" t="n">
        <v>14</v>
      </c>
      <c r="E60" s="22" t="n">
        <v>51.11</v>
      </c>
      <c r="F60" s="14" t="n">
        <v>0.007498</v>
      </c>
      <c r="G60" s="14" t="n">
        <v>0.00407</v>
      </c>
      <c r="H60" s="23" t="inlineStr">
        <is>
          <t>280-214885</t>
        </is>
      </c>
      <c r="I60" s="24">
        <f>IF(H60="","PENDIENTE",IF(LEFT(H60,10)="280-21XXXX","REVISAR","CONFIRMADO"))</f>
        <v/>
      </c>
    </row>
    <row r="61">
      <c r="B61" s="25" t="inlineStr">
        <is>
          <t>Bloque 3</t>
        </is>
      </c>
      <c r="C61" s="26" t="n">
        <v>3144</v>
      </c>
      <c r="D61" s="25" t="n">
        <v>14</v>
      </c>
      <c r="E61" s="27" t="n">
        <v>47.1</v>
      </c>
      <c r="F61" s="28" t="n">
        <v>0.006909999999999999</v>
      </c>
      <c r="G61" s="28" t="n">
        <v>0.00375</v>
      </c>
      <c r="H61" s="23" t="inlineStr">
        <is>
          <t>280-214886</t>
        </is>
      </c>
      <c r="I61" s="26">
        <f>IF(H61="","PENDIENTE",IF(LEFT(H61,10)="280-21XXXX","REVISAR","CONFIRMADO"))</f>
        <v/>
      </c>
    </row>
    <row r="62">
      <c r="B62" s="5" t="inlineStr">
        <is>
          <t>Bloque 4</t>
        </is>
      </c>
      <c r="C62" s="21" t="n">
        <v>411</v>
      </c>
      <c r="D62" s="5" t="n">
        <v>1</v>
      </c>
      <c r="E62" s="22" t="n">
        <v>54</v>
      </c>
      <c r="F62" s="14" t="n">
        <v>0.007922</v>
      </c>
      <c r="G62" s="14" t="n">
        <v>0.0043</v>
      </c>
      <c r="H62" s="23" t="inlineStr">
        <is>
          <t>280-214887</t>
        </is>
      </c>
      <c r="I62" s="24">
        <f>IF(H62="","PENDIENTE",IF(LEFT(H62,10)="280-21XXXX","REVISAR","CONFIRMADO"))</f>
        <v/>
      </c>
    </row>
    <row r="63">
      <c r="B63" s="25" t="inlineStr">
        <is>
          <t>Bloque 4</t>
        </is>
      </c>
      <c r="C63" s="26" t="n">
        <v>412</v>
      </c>
      <c r="D63" s="25" t="n">
        <v>1</v>
      </c>
      <c r="E63" s="27" t="n">
        <v>42</v>
      </c>
      <c r="F63" s="28" t="n">
        <v>0.006161</v>
      </c>
      <c r="G63" s="28" t="n">
        <v>0.00335</v>
      </c>
      <c r="H63" s="23" t="inlineStr">
        <is>
          <t>280-214888</t>
        </is>
      </c>
      <c r="I63" s="26">
        <f>IF(H63="","PENDIENTE",IF(LEFT(H63,10)="280-21XXXX","REVISAR","CONFIRMADO"))</f>
        <v/>
      </c>
    </row>
    <row r="64">
      <c r="B64" s="5" t="inlineStr">
        <is>
          <t>Bloque 4</t>
        </is>
      </c>
      <c r="C64" s="21" t="n">
        <v>413</v>
      </c>
      <c r="D64" s="5" t="n">
        <v>1</v>
      </c>
      <c r="E64" s="22" t="n">
        <v>42</v>
      </c>
      <c r="F64" s="14" t="n">
        <v>0.006161</v>
      </c>
      <c r="G64" s="14" t="n">
        <v>0.00335</v>
      </c>
      <c r="H64" s="23" t="inlineStr">
        <is>
          <t>280-214889</t>
        </is>
      </c>
      <c r="I64" s="24">
        <f>IF(H64="","PENDIENTE",IF(LEFT(H64,10)="280-21XXXX","REVISAR","CONFIRMADO"))</f>
        <v/>
      </c>
    </row>
    <row r="65">
      <c r="B65" s="25" t="inlineStr">
        <is>
          <t>Bloque 4</t>
        </is>
      </c>
      <c r="C65" s="26" t="n">
        <v>414</v>
      </c>
      <c r="D65" s="25" t="n">
        <v>1</v>
      </c>
      <c r="E65" s="27" t="n">
        <v>54</v>
      </c>
      <c r="F65" s="28" t="n">
        <v>0.007922</v>
      </c>
      <c r="G65" s="28" t="n">
        <v>0.0043</v>
      </c>
      <c r="H65" s="23" t="inlineStr">
        <is>
          <t>280-214890</t>
        </is>
      </c>
      <c r="I65" s="26">
        <f>IF(H65="","PENDIENTE",IF(LEFT(H65,10)="280-21XXXX","REVISAR","CONFIRMADO"))</f>
        <v/>
      </c>
    </row>
    <row r="66">
      <c r="B66" s="5" t="inlineStr">
        <is>
          <t>Bloque 4</t>
        </is>
      </c>
      <c r="C66" s="21" t="n">
        <v>421</v>
      </c>
      <c r="D66" s="5" t="n">
        <v>2</v>
      </c>
      <c r="E66" s="22" t="n">
        <v>54</v>
      </c>
      <c r="F66" s="14" t="n">
        <v>0.007922</v>
      </c>
      <c r="G66" s="14" t="n">
        <v>0.0043</v>
      </c>
      <c r="H66" s="23" t="inlineStr">
        <is>
          <t>280-214891</t>
        </is>
      </c>
      <c r="I66" s="24">
        <f>IF(H66="","PENDIENTE",IF(LEFT(H66,10)="280-21XXXX","REVISAR","CONFIRMADO"))</f>
        <v/>
      </c>
    </row>
    <row r="67">
      <c r="B67" s="25" t="inlineStr">
        <is>
          <t>Bloque 4</t>
        </is>
      </c>
      <c r="C67" s="26" t="n">
        <v>422</v>
      </c>
      <c r="D67" s="25" t="n">
        <v>2</v>
      </c>
      <c r="E67" s="27" t="n">
        <v>42</v>
      </c>
      <c r="F67" s="28" t="n">
        <v>0.006161</v>
      </c>
      <c r="G67" s="28" t="n">
        <v>0.00335</v>
      </c>
      <c r="H67" s="23" t="inlineStr">
        <is>
          <t>280-214892</t>
        </is>
      </c>
      <c r="I67" s="26">
        <f>IF(H67="","PENDIENTE",IF(LEFT(H67,10)="280-21XXXX","REVISAR","CONFIRMADO"))</f>
        <v/>
      </c>
    </row>
    <row r="68">
      <c r="B68" s="5" t="inlineStr">
        <is>
          <t>Bloque 4</t>
        </is>
      </c>
      <c r="C68" s="21" t="n">
        <v>423</v>
      </c>
      <c r="D68" s="5" t="n">
        <v>2</v>
      </c>
      <c r="E68" s="22" t="n">
        <v>42</v>
      </c>
      <c r="F68" s="14" t="n">
        <v>0.006161</v>
      </c>
      <c r="G68" s="14" t="n">
        <v>0.00335</v>
      </c>
      <c r="H68" s="23" t="inlineStr">
        <is>
          <t>280-214893</t>
        </is>
      </c>
      <c r="I68" s="24">
        <f>IF(H68="","PENDIENTE",IF(LEFT(H68,10)="280-21XXXX","REVISAR","CONFIRMADO"))</f>
        <v/>
      </c>
    </row>
    <row r="69">
      <c r="B69" s="25" t="inlineStr">
        <is>
          <t>Bloque 4</t>
        </is>
      </c>
      <c r="C69" s="26" t="n">
        <v>424</v>
      </c>
      <c r="D69" s="25" t="n">
        <v>2</v>
      </c>
      <c r="E69" s="27" t="n">
        <v>54</v>
      </c>
      <c r="F69" s="28" t="n">
        <v>0.007922</v>
      </c>
      <c r="G69" s="28" t="n">
        <v>0.0043</v>
      </c>
      <c r="H69" s="23" t="inlineStr">
        <is>
          <t>280-214894</t>
        </is>
      </c>
      <c r="I69" s="26">
        <f>IF(H69="","PENDIENTE",IF(LEFT(H69,10)="280-21XXXX","REVISAR","CONFIRMADO"))</f>
        <v/>
      </c>
    </row>
    <row r="70">
      <c r="B70" s="5" t="inlineStr">
        <is>
          <t>Bloque 4</t>
        </is>
      </c>
      <c r="C70" s="21" t="n">
        <v>431</v>
      </c>
      <c r="D70" s="5" t="n">
        <v>3</v>
      </c>
      <c r="E70" s="22" t="n">
        <v>54</v>
      </c>
      <c r="F70" s="14" t="n">
        <v>0.007922</v>
      </c>
      <c r="G70" s="14" t="n">
        <v>0.0043</v>
      </c>
      <c r="H70" s="23" t="inlineStr">
        <is>
          <t>280-214895</t>
        </is>
      </c>
      <c r="I70" s="24">
        <f>IF(H70="","PENDIENTE",IF(LEFT(H70,10)="280-21XXXX","REVISAR","CONFIRMADO"))</f>
        <v/>
      </c>
    </row>
    <row r="71">
      <c r="B71" s="25" t="inlineStr">
        <is>
          <t>Bloque 4</t>
        </is>
      </c>
      <c r="C71" s="26" t="n">
        <v>432</v>
      </c>
      <c r="D71" s="25" t="n">
        <v>3</v>
      </c>
      <c r="E71" s="27" t="n">
        <v>42</v>
      </c>
      <c r="F71" s="28" t="n">
        <v>0.006161</v>
      </c>
      <c r="G71" s="28" t="n">
        <v>0.00335</v>
      </c>
      <c r="H71" s="23" t="inlineStr">
        <is>
          <t>280-214896</t>
        </is>
      </c>
      <c r="I71" s="26">
        <f>IF(H71="","PENDIENTE",IF(LEFT(H71,10)="280-21XXXX","REVISAR","CONFIRMADO"))</f>
        <v/>
      </c>
    </row>
    <row r="72">
      <c r="B72" s="5" t="inlineStr">
        <is>
          <t>Bloque 4</t>
        </is>
      </c>
      <c r="C72" s="21" t="n">
        <v>433</v>
      </c>
      <c r="D72" s="5" t="n">
        <v>3</v>
      </c>
      <c r="E72" s="22" t="n">
        <v>42</v>
      </c>
      <c r="F72" s="14" t="n">
        <v>0.006161</v>
      </c>
      <c r="G72" s="14" t="n">
        <v>0.00335</v>
      </c>
      <c r="H72" s="23" t="inlineStr">
        <is>
          <t>280-214897</t>
        </is>
      </c>
      <c r="I72" s="24">
        <f>IF(H72="","PENDIENTE",IF(LEFT(H72,10)="280-21XXXX","REVISAR","CONFIRMADO"))</f>
        <v/>
      </c>
    </row>
    <row r="73">
      <c r="B73" s="25" t="inlineStr">
        <is>
          <t>Bloque 4</t>
        </is>
      </c>
      <c r="C73" s="26" t="n">
        <v>434</v>
      </c>
      <c r="D73" s="25" t="n">
        <v>3</v>
      </c>
      <c r="E73" s="27" t="n">
        <v>54</v>
      </c>
      <c r="F73" s="28" t="n">
        <v>0.007922</v>
      </c>
      <c r="G73" s="28" t="n">
        <v>0.0043</v>
      </c>
      <c r="H73" s="23" t="inlineStr">
        <is>
          <t>280-214898</t>
        </is>
      </c>
      <c r="I73" s="26">
        <f>IF(H73="","PENDIENTE",IF(LEFT(H73,10)="280-21XXXX","REVISAR","CONFIRMADO"))</f>
        <v/>
      </c>
    </row>
    <row r="74">
      <c r="B74" s="5" t="inlineStr">
        <is>
          <t>Bloque 4</t>
        </is>
      </c>
      <c r="C74" s="21" t="n">
        <v>441</v>
      </c>
      <c r="D74" s="5" t="n">
        <v>4</v>
      </c>
      <c r="E74" s="22" t="n">
        <v>54</v>
      </c>
      <c r="F74" s="14" t="n">
        <v>0.007922</v>
      </c>
      <c r="G74" s="14" t="n">
        <v>0.0043</v>
      </c>
      <c r="H74" s="23" t="inlineStr">
        <is>
          <t>280-214899</t>
        </is>
      </c>
      <c r="I74" s="24">
        <f>IF(H74="","PENDIENTE",IF(LEFT(H74,10)="280-21XXXX","REVISAR","CONFIRMADO"))</f>
        <v/>
      </c>
    </row>
    <row r="75">
      <c r="B75" s="25" t="inlineStr">
        <is>
          <t>Bloque 4</t>
        </is>
      </c>
      <c r="C75" s="26" t="n">
        <v>442</v>
      </c>
      <c r="D75" s="25" t="n">
        <v>4</v>
      </c>
      <c r="E75" s="27" t="n">
        <v>42</v>
      </c>
      <c r="F75" s="28" t="n">
        <v>0.006161</v>
      </c>
      <c r="G75" s="28" t="n">
        <v>0.00335</v>
      </c>
      <c r="H75" s="23" t="inlineStr">
        <is>
          <t>280-214900</t>
        </is>
      </c>
      <c r="I75" s="26">
        <f>IF(H75="","PENDIENTE",IF(LEFT(H75,10)="280-21XXXX","REVISAR","CONFIRMADO"))</f>
        <v/>
      </c>
    </row>
    <row r="76">
      <c r="B76" s="5" t="inlineStr">
        <is>
          <t>Bloque 4</t>
        </is>
      </c>
      <c r="C76" s="21" t="n">
        <v>443</v>
      </c>
      <c r="D76" s="5" t="n">
        <v>4</v>
      </c>
      <c r="E76" s="22" t="n">
        <v>42</v>
      </c>
      <c r="F76" s="14" t="n">
        <v>0.006161</v>
      </c>
      <c r="G76" s="14" t="n">
        <v>0.00335</v>
      </c>
      <c r="H76" s="23" t="inlineStr">
        <is>
          <t>280-214901</t>
        </is>
      </c>
      <c r="I76" s="24">
        <f>IF(H76="","PENDIENTE",IF(LEFT(H76,10)="280-21XXXX","REVISAR","CONFIRMADO"))</f>
        <v/>
      </c>
    </row>
    <row r="77">
      <c r="B77" s="25" t="inlineStr">
        <is>
          <t>Bloque 4</t>
        </is>
      </c>
      <c r="C77" s="26" t="n">
        <v>444</v>
      </c>
      <c r="D77" s="25" t="n">
        <v>4</v>
      </c>
      <c r="E77" s="27" t="n">
        <v>54</v>
      </c>
      <c r="F77" s="28" t="n">
        <v>0.007922</v>
      </c>
      <c r="G77" s="28" t="n">
        <v>0.0043</v>
      </c>
      <c r="H77" s="23" t="inlineStr">
        <is>
          <t>280-214902</t>
        </is>
      </c>
      <c r="I77" s="26">
        <f>IF(H77="","PENDIENTE",IF(LEFT(H77,10)="280-21XXXX","REVISAR","CONFIRMADO"))</f>
        <v/>
      </c>
    </row>
    <row r="78">
      <c r="B78" s="5" t="inlineStr">
        <is>
          <t>Bloque 4</t>
        </is>
      </c>
      <c r="C78" s="21" t="n">
        <v>451</v>
      </c>
      <c r="D78" s="5" t="n">
        <v>5</v>
      </c>
      <c r="E78" s="22" t="n">
        <v>54</v>
      </c>
      <c r="F78" s="14" t="n">
        <v>0.007922</v>
      </c>
      <c r="G78" s="14" t="n">
        <v>0.0043</v>
      </c>
      <c r="H78" s="23" t="inlineStr">
        <is>
          <t>280-214903</t>
        </is>
      </c>
      <c r="I78" s="24">
        <f>IF(H78="","PENDIENTE",IF(LEFT(H78,10)="280-21XXXX","REVISAR","CONFIRMADO"))</f>
        <v/>
      </c>
    </row>
    <row r="79">
      <c r="B79" s="25" t="inlineStr">
        <is>
          <t>Bloque 4</t>
        </is>
      </c>
      <c r="C79" s="26" t="n">
        <v>452</v>
      </c>
      <c r="D79" s="25" t="n">
        <v>5</v>
      </c>
      <c r="E79" s="27" t="n">
        <v>42</v>
      </c>
      <c r="F79" s="28" t="n">
        <v>0.006161</v>
      </c>
      <c r="G79" s="28" t="n">
        <v>0.00335</v>
      </c>
      <c r="H79" s="23" t="inlineStr">
        <is>
          <t>280-214904</t>
        </is>
      </c>
      <c r="I79" s="26">
        <f>IF(H79="","PENDIENTE",IF(LEFT(H79,10)="280-21XXXX","REVISAR","CONFIRMADO"))</f>
        <v/>
      </c>
    </row>
    <row r="80">
      <c r="B80" s="5" t="inlineStr">
        <is>
          <t>Bloque 4</t>
        </is>
      </c>
      <c r="C80" s="21" t="n">
        <v>453</v>
      </c>
      <c r="D80" s="5" t="n">
        <v>5</v>
      </c>
      <c r="E80" s="22" t="n">
        <v>42</v>
      </c>
      <c r="F80" s="14" t="n">
        <v>0.006161</v>
      </c>
      <c r="G80" s="14" t="n">
        <v>0.00335</v>
      </c>
      <c r="H80" s="23" t="inlineStr">
        <is>
          <t>280-214905</t>
        </is>
      </c>
      <c r="I80" s="24">
        <f>IF(H80="","PENDIENTE",IF(LEFT(H80,10)="280-21XXXX","REVISAR","CONFIRMADO"))</f>
        <v/>
      </c>
    </row>
    <row r="81">
      <c r="B81" s="25" t="inlineStr">
        <is>
          <t>Bloque 4</t>
        </is>
      </c>
      <c r="C81" s="26" t="n">
        <v>454</v>
      </c>
      <c r="D81" s="25" t="n">
        <v>5</v>
      </c>
      <c r="E81" s="27" t="n">
        <v>54</v>
      </c>
      <c r="F81" s="28" t="n">
        <v>0.007922</v>
      </c>
      <c r="G81" s="28" t="n">
        <v>0.0043</v>
      </c>
      <c r="H81" s="23" t="inlineStr">
        <is>
          <t>280-214906</t>
        </is>
      </c>
      <c r="I81" s="26">
        <f>IF(H81="","PENDIENTE",IF(LEFT(H81,10)="280-21XXXX","REVISAR","CONFIRMADO"))</f>
        <v/>
      </c>
    </row>
    <row r="82">
      <c r="B82" s="5" t="inlineStr">
        <is>
          <t>Bloque 4</t>
        </is>
      </c>
      <c r="C82" s="21" t="n">
        <v>461</v>
      </c>
      <c r="D82" s="5" t="n">
        <v>6</v>
      </c>
      <c r="E82" s="22" t="n">
        <v>54</v>
      </c>
      <c r="F82" s="14" t="n">
        <v>0.007922</v>
      </c>
      <c r="G82" s="14" t="n">
        <v>0.0043</v>
      </c>
      <c r="H82" s="23" t="inlineStr">
        <is>
          <t>280-214907</t>
        </is>
      </c>
      <c r="I82" s="24">
        <f>IF(H82="","PENDIENTE",IF(LEFT(H82,10)="280-21XXXX","REVISAR","CONFIRMADO"))</f>
        <v/>
      </c>
    </row>
    <row r="83">
      <c r="B83" s="25" t="inlineStr">
        <is>
          <t>Bloque 4</t>
        </is>
      </c>
      <c r="C83" s="26" t="n">
        <v>462</v>
      </c>
      <c r="D83" s="25" t="n">
        <v>6</v>
      </c>
      <c r="E83" s="27" t="n">
        <v>42</v>
      </c>
      <c r="F83" s="28" t="n">
        <v>0.006161</v>
      </c>
      <c r="G83" s="28" t="n">
        <v>0.00335</v>
      </c>
      <c r="H83" s="23" t="inlineStr">
        <is>
          <t>280-214908</t>
        </is>
      </c>
      <c r="I83" s="26">
        <f>IF(H83="","PENDIENTE",IF(LEFT(H83,10)="280-21XXXX","REVISAR","CONFIRMADO"))</f>
        <v/>
      </c>
    </row>
    <row r="84">
      <c r="B84" s="5" t="inlineStr">
        <is>
          <t>Bloque 4</t>
        </is>
      </c>
      <c r="C84" s="21" t="n">
        <v>463</v>
      </c>
      <c r="D84" s="5" t="n">
        <v>6</v>
      </c>
      <c r="E84" s="22" t="n">
        <v>42</v>
      </c>
      <c r="F84" s="14" t="n">
        <v>0.006161</v>
      </c>
      <c r="G84" s="14" t="n">
        <v>0.00335</v>
      </c>
      <c r="H84" s="23" t="inlineStr">
        <is>
          <t>280-214909</t>
        </is>
      </c>
      <c r="I84" s="24">
        <f>IF(H84="","PENDIENTE",IF(LEFT(H84,10)="280-21XXXX","REVISAR","CONFIRMADO"))</f>
        <v/>
      </c>
    </row>
    <row r="85">
      <c r="B85" s="25" t="inlineStr">
        <is>
          <t>Bloque 4</t>
        </is>
      </c>
      <c r="C85" s="26" t="n">
        <v>464</v>
      </c>
      <c r="D85" s="25" t="n">
        <v>6</v>
      </c>
      <c r="E85" s="27" t="n">
        <v>54</v>
      </c>
      <c r="F85" s="28" t="n">
        <v>0.007922</v>
      </c>
      <c r="G85" s="28" t="n">
        <v>0.0043</v>
      </c>
      <c r="H85" s="23" t="inlineStr">
        <is>
          <t>280-214910</t>
        </is>
      </c>
      <c r="I85" s="26">
        <f>IF(H85="","PENDIENTE",IF(LEFT(H85,10)="280-21XXXX","REVISAR","CONFIRMADO"))</f>
        <v/>
      </c>
    </row>
    <row r="86">
      <c r="B86" s="5" t="inlineStr">
        <is>
          <t>Bloque 4</t>
        </is>
      </c>
      <c r="C86" s="21" t="n">
        <v>471</v>
      </c>
      <c r="D86" s="5" t="n">
        <v>7</v>
      </c>
      <c r="E86" s="22" t="n">
        <v>54</v>
      </c>
      <c r="F86" s="14" t="n">
        <v>0.007922</v>
      </c>
      <c r="G86" s="14" t="n">
        <v>0.0043</v>
      </c>
      <c r="H86" s="23" t="inlineStr">
        <is>
          <t>280-214911</t>
        </is>
      </c>
      <c r="I86" s="24">
        <f>IF(H86="","PENDIENTE",IF(LEFT(H86,10)="280-21XXXX","REVISAR","CONFIRMADO"))</f>
        <v/>
      </c>
    </row>
    <row r="87">
      <c r="B87" s="25" t="inlineStr">
        <is>
          <t>Bloque 4</t>
        </is>
      </c>
      <c r="C87" s="26" t="n">
        <v>472</v>
      </c>
      <c r="D87" s="25" t="n">
        <v>7</v>
      </c>
      <c r="E87" s="27" t="n">
        <v>42</v>
      </c>
      <c r="F87" s="28" t="n">
        <v>0.006161</v>
      </c>
      <c r="G87" s="28" t="n">
        <v>0.00335</v>
      </c>
      <c r="H87" s="23" t="inlineStr">
        <is>
          <t>280-214912</t>
        </is>
      </c>
      <c r="I87" s="26">
        <f>IF(H87="","PENDIENTE",IF(LEFT(H87,10)="280-21XXXX","REVISAR","CONFIRMADO"))</f>
        <v/>
      </c>
    </row>
    <row r="88">
      <c r="B88" s="5" t="inlineStr">
        <is>
          <t>Bloque 4</t>
        </is>
      </c>
      <c r="C88" s="21" t="n">
        <v>473</v>
      </c>
      <c r="D88" s="5" t="n">
        <v>7</v>
      </c>
      <c r="E88" s="22" t="n">
        <v>42</v>
      </c>
      <c r="F88" s="14" t="n">
        <v>0.006161</v>
      </c>
      <c r="G88" s="14" t="n">
        <v>0.00335</v>
      </c>
      <c r="H88" s="23" t="inlineStr">
        <is>
          <t>280-214913</t>
        </is>
      </c>
      <c r="I88" s="24">
        <f>IF(H88="","PENDIENTE",IF(LEFT(H88,10)="280-21XXXX","REVISAR","CONFIRMADO"))</f>
        <v/>
      </c>
    </row>
    <row r="89">
      <c r="B89" s="25" t="inlineStr">
        <is>
          <t>Bloque 4</t>
        </is>
      </c>
      <c r="C89" s="26" t="n">
        <v>474</v>
      </c>
      <c r="D89" s="25" t="n">
        <v>7</v>
      </c>
      <c r="E89" s="27" t="n">
        <v>54</v>
      </c>
      <c r="F89" s="28" t="n">
        <v>0.007922</v>
      </c>
      <c r="G89" s="28" t="n">
        <v>0.0043</v>
      </c>
      <c r="H89" s="23" t="inlineStr">
        <is>
          <t>280-214914</t>
        </is>
      </c>
      <c r="I89" s="26">
        <f>IF(H89="","PENDIENTE",IF(LEFT(H89,10)="280-21XXXX","REVISAR","CONFIRMADO"))</f>
        <v/>
      </c>
    </row>
    <row r="90">
      <c r="B90" s="5" t="inlineStr">
        <is>
          <t>Bloque 4</t>
        </is>
      </c>
      <c r="C90" s="21" t="n">
        <v>481</v>
      </c>
      <c r="D90" s="5" t="n">
        <v>8</v>
      </c>
      <c r="E90" s="22" t="n">
        <v>54</v>
      </c>
      <c r="F90" s="14" t="n">
        <v>0.007922</v>
      </c>
      <c r="G90" s="14" t="n">
        <v>0.0043</v>
      </c>
      <c r="H90" s="23" t="inlineStr">
        <is>
          <t>280-214915</t>
        </is>
      </c>
      <c r="I90" s="24">
        <f>IF(H90="","PENDIENTE",IF(LEFT(H90,10)="280-21XXXX","REVISAR","CONFIRMADO"))</f>
        <v/>
      </c>
    </row>
    <row r="91">
      <c r="B91" s="25" t="inlineStr">
        <is>
          <t>Bloque 4</t>
        </is>
      </c>
      <c r="C91" s="26" t="n">
        <v>482</v>
      </c>
      <c r="D91" s="25" t="n">
        <v>8</v>
      </c>
      <c r="E91" s="27" t="n">
        <v>42</v>
      </c>
      <c r="F91" s="28" t="n">
        <v>0.006161</v>
      </c>
      <c r="G91" s="28" t="n">
        <v>0.00335</v>
      </c>
      <c r="H91" s="23" t="inlineStr">
        <is>
          <t>280-214916</t>
        </is>
      </c>
      <c r="I91" s="26">
        <f>IF(H91="","PENDIENTE",IF(LEFT(H91,10)="280-21XXXX","REVISAR","CONFIRMADO"))</f>
        <v/>
      </c>
    </row>
    <row r="92">
      <c r="B92" s="5" t="inlineStr">
        <is>
          <t>Bloque 4</t>
        </is>
      </c>
      <c r="C92" s="21" t="n">
        <v>483</v>
      </c>
      <c r="D92" s="5" t="n">
        <v>8</v>
      </c>
      <c r="E92" s="22" t="n">
        <v>42</v>
      </c>
      <c r="F92" s="14" t="n">
        <v>0.006161</v>
      </c>
      <c r="G92" s="14" t="n">
        <v>0.00335</v>
      </c>
      <c r="H92" s="23" t="inlineStr">
        <is>
          <t>280-214917</t>
        </is>
      </c>
      <c r="I92" s="24">
        <f>IF(H92="","PENDIENTE",IF(LEFT(H92,10)="280-21XXXX","REVISAR","CONFIRMADO"))</f>
        <v/>
      </c>
    </row>
    <row r="93">
      <c r="B93" s="25" t="inlineStr">
        <is>
          <t>Bloque 4</t>
        </is>
      </c>
      <c r="C93" s="26" t="n">
        <v>484</v>
      </c>
      <c r="D93" s="25" t="n">
        <v>8</v>
      </c>
      <c r="E93" s="27" t="n">
        <v>54</v>
      </c>
      <c r="F93" s="28" t="n">
        <v>0.007922</v>
      </c>
      <c r="G93" s="28" t="n">
        <v>0.0043</v>
      </c>
      <c r="H93" s="23" t="inlineStr">
        <is>
          <t>280-214918</t>
        </is>
      </c>
      <c r="I93" s="26">
        <f>IF(H93="","PENDIENTE",IF(LEFT(H93,10)="280-21XXXX","REVISAR","CONFIRMADO"))</f>
        <v/>
      </c>
    </row>
    <row r="94">
      <c r="B94" s="5" t="inlineStr">
        <is>
          <t>Bloque 4</t>
        </is>
      </c>
      <c r="C94" s="21" t="n">
        <v>491</v>
      </c>
      <c r="D94" s="5" t="n">
        <v>9</v>
      </c>
      <c r="E94" s="22" t="n">
        <v>54</v>
      </c>
      <c r="F94" s="14" t="n">
        <v>0.007922</v>
      </c>
      <c r="G94" s="14" t="n">
        <v>0.0043</v>
      </c>
      <c r="H94" s="23" t="inlineStr">
        <is>
          <t>280-214919</t>
        </is>
      </c>
      <c r="I94" s="24">
        <f>IF(H94="","PENDIENTE",IF(LEFT(H94,10)="280-21XXXX","REVISAR","CONFIRMADO"))</f>
        <v/>
      </c>
    </row>
    <row r="95">
      <c r="B95" s="25" t="inlineStr">
        <is>
          <t>Bloque 4</t>
        </is>
      </c>
      <c r="C95" s="26" t="n">
        <v>492</v>
      </c>
      <c r="D95" s="25" t="n">
        <v>9</v>
      </c>
      <c r="E95" s="27" t="n">
        <v>42</v>
      </c>
      <c r="F95" s="28" t="n">
        <v>0.006161</v>
      </c>
      <c r="G95" s="28" t="n">
        <v>0.00335</v>
      </c>
      <c r="H95" s="23" t="inlineStr">
        <is>
          <t>280-214920</t>
        </is>
      </c>
      <c r="I95" s="26">
        <f>IF(H95="","PENDIENTE",IF(LEFT(H95,10)="280-21XXXX","REVISAR","CONFIRMADO"))</f>
        <v/>
      </c>
    </row>
    <row r="96">
      <c r="B96" s="5" t="inlineStr">
        <is>
          <t>Bloque 4</t>
        </is>
      </c>
      <c r="C96" s="21" t="n">
        <v>493</v>
      </c>
      <c r="D96" s="5" t="n">
        <v>9</v>
      </c>
      <c r="E96" s="22" t="n">
        <v>42</v>
      </c>
      <c r="F96" s="14" t="n">
        <v>0.006161</v>
      </c>
      <c r="G96" s="14" t="n">
        <v>0.00335</v>
      </c>
      <c r="H96" s="23" t="inlineStr">
        <is>
          <t>280-214921</t>
        </is>
      </c>
      <c r="I96" s="24">
        <f>IF(H96="","PENDIENTE",IF(LEFT(H96,10)="280-21XXXX","REVISAR","CONFIRMADO"))</f>
        <v/>
      </c>
    </row>
    <row r="97">
      <c r="B97" s="25" t="inlineStr">
        <is>
          <t>Bloque 4</t>
        </is>
      </c>
      <c r="C97" s="26" t="n">
        <v>494</v>
      </c>
      <c r="D97" s="25" t="n">
        <v>9</v>
      </c>
      <c r="E97" s="27" t="n">
        <v>54</v>
      </c>
      <c r="F97" s="28" t="n">
        <v>0.007922</v>
      </c>
      <c r="G97" s="28" t="n">
        <v>0.0043</v>
      </c>
      <c r="H97" s="23" t="inlineStr">
        <is>
          <t>280-214922</t>
        </is>
      </c>
      <c r="I97" s="26">
        <f>IF(H97="","PENDIENTE",IF(LEFT(H97,10)="280-21XXXX","REVISAR","CONFIRMADO"))</f>
        <v/>
      </c>
    </row>
    <row r="98">
      <c r="B98" s="5" t="inlineStr">
        <is>
          <t>Bloque 4</t>
        </is>
      </c>
      <c r="C98" s="21" t="n">
        <v>4101</v>
      </c>
      <c r="D98" s="5" t="n">
        <v>10</v>
      </c>
      <c r="E98" s="22" t="n">
        <v>54</v>
      </c>
      <c r="F98" s="14" t="n">
        <v>0.007922</v>
      </c>
      <c r="G98" s="14" t="n">
        <v>0.0043</v>
      </c>
      <c r="H98" s="23" t="inlineStr">
        <is>
          <t>280-214923</t>
        </is>
      </c>
      <c r="I98" s="24">
        <f>IF(H98="","PENDIENTE",IF(LEFT(H98,10)="280-21XXXX","REVISAR","CONFIRMADO"))</f>
        <v/>
      </c>
    </row>
    <row r="99">
      <c r="B99" s="25" t="inlineStr">
        <is>
          <t>Bloque 4</t>
        </is>
      </c>
      <c r="C99" s="26" t="n">
        <v>4102</v>
      </c>
      <c r="D99" s="25" t="n">
        <v>10</v>
      </c>
      <c r="E99" s="27" t="n">
        <v>42</v>
      </c>
      <c r="F99" s="28" t="n">
        <v>0.006161</v>
      </c>
      <c r="G99" s="28" t="n">
        <v>0.00335</v>
      </c>
      <c r="H99" s="23" t="inlineStr">
        <is>
          <t>280-214924</t>
        </is>
      </c>
      <c r="I99" s="26">
        <f>IF(H99="","PENDIENTE",IF(LEFT(H99,10)="280-21XXXX","REVISAR","CONFIRMADO"))</f>
        <v/>
      </c>
    </row>
    <row r="100">
      <c r="B100" s="5" t="inlineStr">
        <is>
          <t>Bloque 4</t>
        </is>
      </c>
      <c r="C100" s="21" t="n">
        <v>4103</v>
      </c>
      <c r="D100" s="5" t="n">
        <v>10</v>
      </c>
      <c r="E100" s="22" t="n">
        <v>42</v>
      </c>
      <c r="F100" s="14" t="n">
        <v>0.006161</v>
      </c>
      <c r="G100" s="14" t="n">
        <v>0.00335</v>
      </c>
      <c r="H100" s="23" t="inlineStr">
        <is>
          <t>280-214925</t>
        </is>
      </c>
      <c r="I100" s="24">
        <f>IF(H100="","PENDIENTE",IF(LEFT(H100,10)="280-21XXXX","REVISAR","CONFIRMADO"))</f>
        <v/>
      </c>
    </row>
    <row r="101">
      <c r="B101" s="25" t="inlineStr">
        <is>
          <t>Bloque 4</t>
        </is>
      </c>
      <c r="C101" s="26" t="n">
        <v>4104</v>
      </c>
      <c r="D101" s="25" t="n">
        <v>10</v>
      </c>
      <c r="E101" s="27" t="n">
        <v>54</v>
      </c>
      <c r="F101" s="28" t="n">
        <v>0.007922</v>
      </c>
      <c r="G101" s="28" t="n">
        <v>0.0043</v>
      </c>
      <c r="H101" s="23" t="inlineStr">
        <is>
          <t>280-214926</t>
        </is>
      </c>
      <c r="I101" s="26">
        <f>IF(H101="","PENDIENTE",IF(LEFT(H101,10)="280-21XXXX","REVISAR","CONFIRMADO"))</f>
        <v/>
      </c>
    </row>
    <row r="102">
      <c r="B102" s="5" t="inlineStr">
        <is>
          <t>Bloque 4</t>
        </is>
      </c>
      <c r="C102" s="21" t="n">
        <v>4111</v>
      </c>
      <c r="D102" s="5" t="n">
        <v>11</v>
      </c>
      <c r="E102" s="22" t="n">
        <v>54</v>
      </c>
      <c r="F102" s="14" t="n">
        <v>0.007922</v>
      </c>
      <c r="G102" s="14" t="n">
        <v>0.0043</v>
      </c>
      <c r="H102" s="23" t="inlineStr">
        <is>
          <t>280-214927</t>
        </is>
      </c>
      <c r="I102" s="24">
        <f>IF(H102="","PENDIENTE",IF(LEFT(H102,10)="280-21XXXX","REVISAR","CONFIRMADO"))</f>
        <v/>
      </c>
    </row>
    <row r="103">
      <c r="B103" s="25" t="inlineStr">
        <is>
          <t>Bloque 4</t>
        </is>
      </c>
      <c r="C103" s="26" t="n">
        <v>4112</v>
      </c>
      <c r="D103" s="25" t="n">
        <v>11</v>
      </c>
      <c r="E103" s="27" t="n">
        <v>42</v>
      </c>
      <c r="F103" s="28" t="n">
        <v>0.006161</v>
      </c>
      <c r="G103" s="28" t="n">
        <v>0.00335</v>
      </c>
      <c r="H103" s="23" t="inlineStr">
        <is>
          <t>280-214928</t>
        </is>
      </c>
      <c r="I103" s="26">
        <f>IF(H103="","PENDIENTE",IF(LEFT(H103,10)="280-21XXXX","REVISAR","CONFIRMADO"))</f>
        <v/>
      </c>
    </row>
    <row r="104">
      <c r="B104" s="5" t="inlineStr">
        <is>
          <t>Bloque 4</t>
        </is>
      </c>
      <c r="C104" s="21" t="n">
        <v>4113</v>
      </c>
      <c r="D104" s="5" t="n">
        <v>11</v>
      </c>
      <c r="E104" s="22" t="n">
        <v>42</v>
      </c>
      <c r="F104" s="14" t="n">
        <v>0.006161</v>
      </c>
      <c r="G104" s="14" t="n">
        <v>0.00335</v>
      </c>
      <c r="H104" s="23" t="inlineStr">
        <is>
          <t>280-214929</t>
        </is>
      </c>
      <c r="I104" s="24">
        <f>IF(H104="","PENDIENTE",IF(LEFT(H104,10)="280-21XXXX","REVISAR","CONFIRMADO"))</f>
        <v/>
      </c>
    </row>
    <row r="105">
      <c r="B105" s="25" t="inlineStr">
        <is>
          <t>Bloque 4</t>
        </is>
      </c>
      <c r="C105" s="26" t="n">
        <v>4114</v>
      </c>
      <c r="D105" s="25" t="n">
        <v>11</v>
      </c>
      <c r="E105" s="27" t="n">
        <v>54</v>
      </c>
      <c r="F105" s="28" t="n">
        <v>0.007922</v>
      </c>
      <c r="G105" s="28" t="n">
        <v>0.0043</v>
      </c>
      <c r="H105" s="23" t="inlineStr">
        <is>
          <t>280-214930</t>
        </is>
      </c>
      <c r="I105" s="26">
        <f>IF(H105="","PENDIENTE",IF(LEFT(H105,10)="280-21XXXX","REVISAR","CONFIRMADO"))</f>
        <v/>
      </c>
    </row>
    <row r="106">
      <c r="B106" s="5" t="inlineStr">
        <is>
          <t>Bloque 4</t>
        </is>
      </c>
      <c r="C106" s="21" t="n">
        <v>4121</v>
      </c>
      <c r="D106" s="5" t="n">
        <v>12</v>
      </c>
      <c r="E106" s="22" t="n">
        <v>54</v>
      </c>
      <c r="F106" s="14" t="n">
        <v>0.007922</v>
      </c>
      <c r="G106" s="14" t="n">
        <v>0.0043</v>
      </c>
      <c r="H106" s="23" t="inlineStr">
        <is>
          <t>280-214931</t>
        </is>
      </c>
      <c r="I106" s="24">
        <f>IF(H106="","PENDIENTE",IF(LEFT(H106,10)="280-21XXXX","REVISAR","CONFIRMADO"))</f>
        <v/>
      </c>
    </row>
    <row r="107">
      <c r="B107" s="25" t="inlineStr">
        <is>
          <t>Bloque 4</t>
        </is>
      </c>
      <c r="C107" s="26" t="n">
        <v>4122</v>
      </c>
      <c r="D107" s="25" t="n">
        <v>12</v>
      </c>
      <c r="E107" s="27" t="n">
        <v>42</v>
      </c>
      <c r="F107" s="28" t="n">
        <v>0.006161</v>
      </c>
      <c r="G107" s="28" t="n">
        <v>0.00335</v>
      </c>
      <c r="H107" s="23" t="inlineStr">
        <is>
          <t>280-214932</t>
        </is>
      </c>
      <c r="I107" s="26">
        <f>IF(H107="","PENDIENTE",IF(LEFT(H107,10)="280-21XXXX","REVISAR","CONFIRMADO"))</f>
        <v/>
      </c>
    </row>
    <row r="108">
      <c r="B108" s="5" t="inlineStr">
        <is>
          <t>Bloque 4</t>
        </is>
      </c>
      <c r="C108" s="21" t="n">
        <v>4123</v>
      </c>
      <c r="D108" s="5" t="n">
        <v>12</v>
      </c>
      <c r="E108" s="22" t="n">
        <v>42</v>
      </c>
      <c r="F108" s="14" t="n">
        <v>0.006161</v>
      </c>
      <c r="G108" s="14" t="n">
        <v>0.00335</v>
      </c>
      <c r="H108" s="23" t="inlineStr">
        <is>
          <t>280-214933</t>
        </is>
      </c>
      <c r="I108" s="24">
        <f>IF(H108="","PENDIENTE",IF(LEFT(H108,10)="280-21XXXX","REVISAR","CONFIRMADO"))</f>
        <v/>
      </c>
    </row>
    <row r="109">
      <c r="B109" s="25" t="inlineStr">
        <is>
          <t>Bloque 4</t>
        </is>
      </c>
      <c r="C109" s="26" t="n">
        <v>4124</v>
      </c>
      <c r="D109" s="25" t="n">
        <v>12</v>
      </c>
      <c r="E109" s="27" t="n">
        <v>54</v>
      </c>
      <c r="F109" s="28" t="n">
        <v>0.007922</v>
      </c>
      <c r="G109" s="28" t="n">
        <v>0.0043</v>
      </c>
      <c r="H109" s="23" t="inlineStr">
        <is>
          <t>280-214934</t>
        </is>
      </c>
      <c r="I109" s="26">
        <f>IF(H109="","PENDIENTE",IF(LEFT(H109,10)="280-21XXXX","REVISAR","CONFIRMADO"))</f>
        <v/>
      </c>
    </row>
    <row r="110">
      <c r="B110" s="5" t="inlineStr">
        <is>
          <t>Bloque 4</t>
        </is>
      </c>
      <c r="C110" s="21" t="n">
        <v>4131</v>
      </c>
      <c r="D110" s="5" t="n">
        <v>13</v>
      </c>
      <c r="E110" s="22" t="n">
        <v>54</v>
      </c>
      <c r="F110" s="14" t="n">
        <v>0.007922</v>
      </c>
      <c r="G110" s="14" t="n">
        <v>0.0043</v>
      </c>
      <c r="H110" s="23" t="inlineStr">
        <is>
          <t>280-214935</t>
        </is>
      </c>
      <c r="I110" s="24">
        <f>IF(H110="","PENDIENTE",IF(LEFT(H110,10)="280-21XXXX","REVISAR","CONFIRMADO"))</f>
        <v/>
      </c>
    </row>
    <row r="111">
      <c r="B111" s="25" t="inlineStr">
        <is>
          <t>Bloque 4</t>
        </is>
      </c>
      <c r="C111" s="26" t="n">
        <v>4132</v>
      </c>
      <c r="D111" s="25" t="n">
        <v>13</v>
      </c>
      <c r="E111" s="27" t="n">
        <v>42</v>
      </c>
      <c r="F111" s="28" t="n">
        <v>0.006161</v>
      </c>
      <c r="G111" s="28" t="n">
        <v>0.00335</v>
      </c>
      <c r="H111" s="23" t="inlineStr">
        <is>
          <t>280-214936</t>
        </is>
      </c>
      <c r="I111" s="26">
        <f>IF(H111="","PENDIENTE",IF(LEFT(H111,10)="280-21XXXX","REVISAR","CONFIRMADO"))</f>
        <v/>
      </c>
    </row>
    <row r="112">
      <c r="B112" s="5" t="inlineStr">
        <is>
          <t>Bloque 4</t>
        </is>
      </c>
      <c r="C112" s="21" t="n">
        <v>4133</v>
      </c>
      <c r="D112" s="5" t="n">
        <v>13</v>
      </c>
      <c r="E112" s="22" t="n">
        <v>42</v>
      </c>
      <c r="F112" s="14" t="n">
        <v>0.006161</v>
      </c>
      <c r="G112" s="14" t="n">
        <v>0.00335</v>
      </c>
      <c r="H112" s="23" t="inlineStr">
        <is>
          <t>280-214937</t>
        </is>
      </c>
      <c r="I112" s="24">
        <f>IF(H112="","PENDIENTE",IF(LEFT(H112,10)="280-21XXXX","REVISAR","CONFIRMADO"))</f>
        <v/>
      </c>
    </row>
    <row r="113">
      <c r="B113" s="25" t="inlineStr">
        <is>
          <t>Bloque 4</t>
        </is>
      </c>
      <c r="C113" s="26" t="n">
        <v>4134</v>
      </c>
      <c r="D113" s="25" t="n">
        <v>13</v>
      </c>
      <c r="E113" s="27" t="n">
        <v>54</v>
      </c>
      <c r="F113" s="28" t="n">
        <v>0.007922</v>
      </c>
      <c r="G113" s="28" t="n">
        <v>0.0043</v>
      </c>
      <c r="H113" s="23" t="inlineStr">
        <is>
          <t>280-214938</t>
        </is>
      </c>
      <c r="I113" s="26">
        <f>IF(H113="","PENDIENTE",IF(LEFT(H113,10)="280-21XXXX","REVISAR","CONFIRMADO"))</f>
        <v/>
      </c>
    </row>
    <row r="114">
      <c r="B114" s="5" t="inlineStr">
        <is>
          <t>Bloque 4</t>
        </is>
      </c>
      <c r="C114" s="21" t="n">
        <v>4141</v>
      </c>
      <c r="D114" s="5" t="n">
        <v>14</v>
      </c>
      <c r="E114" s="22" t="n">
        <v>54</v>
      </c>
      <c r="F114" s="14" t="n">
        <v>0.007922</v>
      </c>
      <c r="G114" s="14" t="n">
        <v>0.0043</v>
      </c>
      <c r="H114" s="23" t="inlineStr">
        <is>
          <t>280-214939</t>
        </is>
      </c>
      <c r="I114" s="24">
        <f>IF(H114="","PENDIENTE",IF(LEFT(H114,10)="280-21XXXX","REVISAR","CONFIRMADO"))</f>
        <v/>
      </c>
    </row>
    <row r="115">
      <c r="B115" s="25" t="inlineStr">
        <is>
          <t>Bloque 4</t>
        </is>
      </c>
      <c r="C115" s="26" t="n">
        <v>4142</v>
      </c>
      <c r="D115" s="25" t="n">
        <v>14</v>
      </c>
      <c r="E115" s="27" t="n">
        <v>42</v>
      </c>
      <c r="F115" s="28" t="n">
        <v>0.006161</v>
      </c>
      <c r="G115" s="28" t="n">
        <v>0.00335</v>
      </c>
      <c r="H115" s="23" t="inlineStr">
        <is>
          <t>280-214940</t>
        </is>
      </c>
      <c r="I115" s="26">
        <f>IF(H115="","PENDIENTE",IF(LEFT(H115,10)="280-21XXXX","REVISAR","CONFIRMADO"))</f>
        <v/>
      </c>
    </row>
    <row r="116">
      <c r="B116" s="5" t="inlineStr">
        <is>
          <t>Bloque 4</t>
        </is>
      </c>
      <c r="C116" s="21" t="n">
        <v>4143</v>
      </c>
      <c r="D116" s="5" t="n">
        <v>14</v>
      </c>
      <c r="E116" s="22" t="n">
        <v>42</v>
      </c>
      <c r="F116" s="14" t="n">
        <v>0.006161</v>
      </c>
      <c r="G116" s="14" t="n">
        <v>0.00335</v>
      </c>
      <c r="H116" s="23" t="inlineStr">
        <is>
          <t>280-214941</t>
        </is>
      </c>
      <c r="I116" s="24">
        <f>IF(H116="","PENDIENTE",IF(LEFT(H116,10)="280-21XXXX","REVISAR","CONFIRMADO"))</f>
        <v/>
      </c>
    </row>
    <row r="117">
      <c r="B117" s="25" t="inlineStr">
        <is>
          <t>Bloque 4</t>
        </is>
      </c>
      <c r="C117" s="26" t="n">
        <v>4144</v>
      </c>
      <c r="D117" s="25" t="n">
        <v>14</v>
      </c>
      <c r="E117" s="27" t="n">
        <v>54</v>
      </c>
      <c r="F117" s="28" t="n">
        <v>0.007922</v>
      </c>
      <c r="G117" s="28" t="n">
        <v>0.0043</v>
      </c>
      <c r="H117" s="23" t="inlineStr">
        <is>
          <t>280-214942</t>
        </is>
      </c>
      <c r="I117" s="26">
        <f>IF(H117="","PENDIENTE",IF(LEFT(H117,10)="280-21XXXX","REVISAR","CONFIRMADO"))</f>
        <v/>
      </c>
    </row>
    <row r="118">
      <c r="B118" s="5" t="inlineStr">
        <is>
          <t>Bloque 4</t>
        </is>
      </c>
      <c r="C118" s="21" t="n">
        <v>4151</v>
      </c>
      <c r="D118" s="5" t="n">
        <v>15</v>
      </c>
      <c r="E118" s="22" t="n">
        <v>54</v>
      </c>
      <c r="F118" s="14" t="n">
        <v>0.007922</v>
      </c>
      <c r="G118" s="14" t="n">
        <v>0.0043</v>
      </c>
      <c r="H118" s="23" t="inlineStr">
        <is>
          <t>280-214943</t>
        </is>
      </c>
      <c r="I118" s="24">
        <f>IF(H118="","PENDIENTE",IF(LEFT(H118,10)="280-21XXXX","REVISAR","CONFIRMADO"))</f>
        <v/>
      </c>
    </row>
    <row r="119">
      <c r="B119" s="25" t="inlineStr">
        <is>
          <t>Bloque 4</t>
        </is>
      </c>
      <c r="C119" s="26" t="n">
        <v>4152</v>
      </c>
      <c r="D119" s="25" t="n">
        <v>15</v>
      </c>
      <c r="E119" s="27" t="n">
        <v>42</v>
      </c>
      <c r="F119" s="28" t="n">
        <v>0.006161</v>
      </c>
      <c r="G119" s="28" t="n">
        <v>0.00335</v>
      </c>
      <c r="H119" s="23" t="inlineStr">
        <is>
          <t>280-214944</t>
        </is>
      </c>
      <c r="I119" s="26">
        <f>IF(H119="","PENDIENTE",IF(LEFT(H119,10)="280-21XXXX","REVISAR","CONFIRMADO"))</f>
        <v/>
      </c>
    </row>
    <row r="120">
      <c r="B120" s="5" t="inlineStr">
        <is>
          <t>Bloque 4</t>
        </is>
      </c>
      <c r="C120" s="21" t="n">
        <v>4153</v>
      </c>
      <c r="D120" s="5" t="n">
        <v>15</v>
      </c>
      <c r="E120" s="22" t="n">
        <v>42</v>
      </c>
      <c r="F120" s="14" t="n">
        <v>0.006161</v>
      </c>
      <c r="G120" s="14" t="n">
        <v>0.00335</v>
      </c>
      <c r="H120" s="23" t="inlineStr">
        <is>
          <t>280-214945</t>
        </is>
      </c>
      <c r="I120" s="24">
        <f>IF(H120="","PENDIENTE",IF(LEFT(H120,10)="280-21XXXX","REVISAR","CONFIRMADO"))</f>
        <v/>
      </c>
    </row>
    <row r="121">
      <c r="B121" s="25" t="inlineStr">
        <is>
          <t>Bloque 4</t>
        </is>
      </c>
      <c r="C121" s="26" t="n">
        <v>4154</v>
      </c>
      <c r="D121" s="25" t="n">
        <v>15</v>
      </c>
      <c r="E121" s="27" t="n">
        <v>54</v>
      </c>
      <c r="F121" s="28" t="n">
        <v>0.007922</v>
      </c>
      <c r="G121" s="28" t="n">
        <v>0.0043</v>
      </c>
      <c r="H121" s="23" t="inlineStr">
        <is>
          <t>280-214946</t>
        </is>
      </c>
      <c r="I121" s="26">
        <f>IF(H121="","PENDIENTE",IF(LEFT(H121,10)="280-21XXXX","REVISAR","CONFIRMADO"))</f>
        <v/>
      </c>
    </row>
    <row r="122">
      <c r="B122" s="5" t="inlineStr">
        <is>
          <t>Bloque 1</t>
        </is>
      </c>
      <c r="C122" s="21" t="n">
        <v>111</v>
      </c>
      <c r="D122" s="5" t="n">
        <v>1</v>
      </c>
      <c r="E122" s="22" t="n">
        <v>51.3</v>
      </c>
      <c r="F122" s="14" t="n">
        <v>0.007525</v>
      </c>
      <c r="G122" s="14" t="n">
        <v>0.004079999999999999</v>
      </c>
      <c r="H122" s="34" t="inlineStr">
        <is>
          <t>280-21XXXX</t>
        </is>
      </c>
      <c r="I122" s="24" t="inlineStr">
        <is>
          <t>PENDIENTE: administración no tiene matrícula; residente debe digitar manualmente</t>
        </is>
      </c>
    </row>
    <row r="123">
      <c r="B123" s="25" t="inlineStr">
        <is>
          <t>Bloque 1</t>
        </is>
      </c>
      <c r="C123" s="26" t="n">
        <v>112</v>
      </c>
      <c r="D123" s="25" t="n">
        <v>1</v>
      </c>
      <c r="E123" s="27" t="n">
        <v>58.52</v>
      </c>
      <c r="F123" s="28" t="n">
        <v>0.008584000000000001</v>
      </c>
      <c r="G123" s="28" t="n">
        <v>0.00465</v>
      </c>
      <c r="H123" s="34" t="inlineStr">
        <is>
          <t>280-21XXXX</t>
        </is>
      </c>
      <c r="I123" s="26" t="inlineStr">
        <is>
          <t>PENDIENTE: administración no tiene matrícula; residente debe digitar manualmente</t>
        </is>
      </c>
    </row>
    <row r="124">
      <c r="B124" s="5" t="inlineStr">
        <is>
          <t>Bloque 1</t>
        </is>
      </c>
      <c r="C124" s="21" t="n">
        <v>113</v>
      </c>
      <c r="D124" s="5" t="n">
        <v>1</v>
      </c>
      <c r="E124" s="22" t="n">
        <v>58.52</v>
      </c>
      <c r="F124" s="14" t="n">
        <v>0.008584000000000001</v>
      </c>
      <c r="G124" s="14" t="n">
        <v>0.00465</v>
      </c>
      <c r="H124" s="34" t="inlineStr">
        <is>
          <t>280-21XXXX</t>
        </is>
      </c>
      <c r="I124" s="24" t="inlineStr">
        <is>
          <t>PENDIENTE: administración no tiene matrícula; residente debe digitar manualmente</t>
        </is>
      </c>
    </row>
    <row r="125">
      <c r="B125" s="25" t="inlineStr">
        <is>
          <t>Bloque 1</t>
        </is>
      </c>
      <c r="C125" s="26" t="n">
        <v>114</v>
      </c>
      <c r="D125" s="25" t="n">
        <v>1</v>
      </c>
      <c r="E125" s="27" t="n">
        <v>51.3</v>
      </c>
      <c r="F125" s="28" t="n">
        <v>0.007525</v>
      </c>
      <c r="G125" s="28" t="n">
        <v>0.004079999999999999</v>
      </c>
      <c r="H125" s="34" t="inlineStr">
        <is>
          <t>280-21XXXX</t>
        </is>
      </c>
      <c r="I125" s="26" t="inlineStr">
        <is>
          <t>PENDIENTE: administración no tiene matrícula; residente debe digitar manualmente</t>
        </is>
      </c>
    </row>
    <row r="126">
      <c r="B126" s="5" t="inlineStr">
        <is>
          <t>Bloque 1</t>
        </is>
      </c>
      <c r="C126" s="21" t="n">
        <v>121</v>
      </c>
      <c r="D126" s="5" t="n">
        <v>2</v>
      </c>
      <c r="E126" s="22" t="n">
        <v>51.3</v>
      </c>
      <c r="F126" s="14" t="n">
        <v>0.007525</v>
      </c>
      <c r="G126" s="14" t="n">
        <v>0.004079999999999999</v>
      </c>
      <c r="H126" s="34" t="inlineStr">
        <is>
          <t>280-21XXXX</t>
        </is>
      </c>
      <c r="I126" s="24" t="inlineStr">
        <is>
          <t>PENDIENTE: administración no tiene matrícula; residente debe digitar manualmente</t>
        </is>
      </c>
    </row>
    <row r="127">
      <c r="B127" s="25" t="inlineStr">
        <is>
          <t>Bloque 1</t>
        </is>
      </c>
      <c r="C127" s="26" t="n">
        <v>122</v>
      </c>
      <c r="D127" s="25" t="n">
        <v>2</v>
      </c>
      <c r="E127" s="27" t="n">
        <v>58.52</v>
      </c>
      <c r="F127" s="28" t="n">
        <v>0.008584000000000001</v>
      </c>
      <c r="G127" s="28" t="n">
        <v>0.00465</v>
      </c>
      <c r="H127" s="34" t="inlineStr">
        <is>
          <t>280-21XXXX</t>
        </is>
      </c>
      <c r="I127" s="26" t="inlineStr">
        <is>
          <t>PENDIENTE: administración no tiene matrícula; residente debe digitar manualmente</t>
        </is>
      </c>
    </row>
    <row r="128">
      <c r="B128" s="5" t="inlineStr">
        <is>
          <t>Bloque 1</t>
        </is>
      </c>
      <c r="C128" s="21" t="n">
        <v>123</v>
      </c>
      <c r="D128" s="5" t="n">
        <v>2</v>
      </c>
      <c r="E128" s="22" t="n">
        <v>58.52</v>
      </c>
      <c r="F128" s="14" t="n">
        <v>0.008584000000000001</v>
      </c>
      <c r="G128" s="14" t="n">
        <v>0.00465</v>
      </c>
      <c r="H128" s="34" t="inlineStr">
        <is>
          <t>280-21XXXX</t>
        </is>
      </c>
      <c r="I128" s="24" t="inlineStr">
        <is>
          <t>PENDIENTE: administración no tiene matrícula; residente debe digitar manualmente</t>
        </is>
      </c>
    </row>
    <row r="129">
      <c r="B129" s="25" t="inlineStr">
        <is>
          <t>Bloque 1</t>
        </is>
      </c>
      <c r="C129" s="26" t="n">
        <v>124</v>
      </c>
      <c r="D129" s="25" t="n">
        <v>2</v>
      </c>
      <c r="E129" s="27" t="n">
        <v>51.3</v>
      </c>
      <c r="F129" s="28" t="n">
        <v>0.007525</v>
      </c>
      <c r="G129" s="28" t="n">
        <v>0.004079999999999999</v>
      </c>
      <c r="H129" s="34" t="inlineStr">
        <is>
          <t>280-21XXXX</t>
        </is>
      </c>
      <c r="I129" s="26" t="inlineStr">
        <is>
          <t>PENDIENTE: administración no tiene matrícula; residente debe digitar manualmente</t>
        </is>
      </c>
    </row>
    <row r="130">
      <c r="B130" s="5" t="inlineStr">
        <is>
          <t>Bloque 1</t>
        </is>
      </c>
      <c r="C130" s="21" t="n">
        <v>131</v>
      </c>
      <c r="D130" s="5" t="n">
        <v>3</v>
      </c>
      <c r="E130" s="22" t="n">
        <v>51.3</v>
      </c>
      <c r="F130" s="14" t="n">
        <v>0.007525</v>
      </c>
      <c r="G130" s="14" t="n">
        <v>0.004079999999999999</v>
      </c>
      <c r="H130" s="34" t="inlineStr">
        <is>
          <t>280-21XXXX</t>
        </is>
      </c>
      <c r="I130" s="24" t="inlineStr">
        <is>
          <t>PENDIENTE: administración no tiene matrícula; residente debe digitar manualmente</t>
        </is>
      </c>
    </row>
    <row r="131">
      <c r="B131" s="25" t="inlineStr">
        <is>
          <t>Bloque 1</t>
        </is>
      </c>
      <c r="C131" s="26" t="n">
        <v>132</v>
      </c>
      <c r="D131" s="25" t="n">
        <v>3</v>
      </c>
      <c r="E131" s="27" t="n">
        <v>58.52</v>
      </c>
      <c r="F131" s="28" t="n">
        <v>0.008584000000000001</v>
      </c>
      <c r="G131" s="28" t="n">
        <v>0.00465</v>
      </c>
      <c r="H131" s="34" t="inlineStr">
        <is>
          <t>280-21XXXX</t>
        </is>
      </c>
      <c r="I131" s="26" t="inlineStr">
        <is>
          <t>PENDIENTE: administración no tiene matrícula; residente debe digitar manualmente</t>
        </is>
      </c>
    </row>
    <row r="132">
      <c r="B132" s="5" t="inlineStr">
        <is>
          <t>Bloque 1</t>
        </is>
      </c>
      <c r="C132" s="21" t="n">
        <v>133</v>
      </c>
      <c r="D132" s="5" t="n">
        <v>3</v>
      </c>
      <c r="E132" s="22" t="n">
        <v>58.52</v>
      </c>
      <c r="F132" s="14" t="n">
        <v>0.008584000000000001</v>
      </c>
      <c r="G132" s="14" t="n">
        <v>0.00465</v>
      </c>
      <c r="H132" s="34" t="inlineStr">
        <is>
          <t>280-21XXXX</t>
        </is>
      </c>
      <c r="I132" s="24" t="inlineStr">
        <is>
          <t>PENDIENTE: administración no tiene matrícula; residente debe digitar manualmente</t>
        </is>
      </c>
    </row>
    <row r="133">
      <c r="B133" s="25" t="inlineStr">
        <is>
          <t>Bloque 1</t>
        </is>
      </c>
      <c r="C133" s="26" t="n">
        <v>134</v>
      </c>
      <c r="D133" s="25" t="n">
        <v>3</v>
      </c>
      <c r="E133" s="27" t="n">
        <v>51.3</v>
      </c>
      <c r="F133" s="28" t="n">
        <v>0.007525</v>
      </c>
      <c r="G133" s="28" t="n">
        <v>0.004079999999999999</v>
      </c>
      <c r="H133" s="34" t="inlineStr">
        <is>
          <t>280-21XXXX</t>
        </is>
      </c>
      <c r="I133" s="26" t="inlineStr">
        <is>
          <t>PENDIENTE: administración no tiene matrícula; residente debe digitar manualmente</t>
        </is>
      </c>
    </row>
    <row r="134">
      <c r="B134" s="5" t="inlineStr">
        <is>
          <t>Bloque 1</t>
        </is>
      </c>
      <c r="C134" s="21" t="n">
        <v>141</v>
      </c>
      <c r="D134" s="5" t="n">
        <v>4</v>
      </c>
      <c r="E134" s="22" t="n">
        <v>51.3</v>
      </c>
      <c r="F134" s="14" t="n">
        <v>0.007525</v>
      </c>
      <c r="G134" s="14" t="n">
        <v>0.004079999999999999</v>
      </c>
      <c r="H134" s="34" t="inlineStr">
        <is>
          <t>280-21XXXX</t>
        </is>
      </c>
      <c r="I134" s="24" t="inlineStr">
        <is>
          <t>PENDIENTE: administración no tiene matrícula; residente debe digitar manualmente</t>
        </is>
      </c>
    </row>
    <row r="135">
      <c r="B135" s="25" t="inlineStr">
        <is>
          <t>Bloque 1</t>
        </is>
      </c>
      <c r="C135" s="26" t="n">
        <v>142</v>
      </c>
      <c r="D135" s="25" t="n">
        <v>4</v>
      </c>
      <c r="E135" s="27" t="n">
        <v>58.52</v>
      </c>
      <c r="F135" s="28" t="n">
        <v>0.008584000000000001</v>
      </c>
      <c r="G135" s="28" t="n">
        <v>0.00465</v>
      </c>
      <c r="H135" s="34" t="inlineStr">
        <is>
          <t>280-21XXXX</t>
        </is>
      </c>
      <c r="I135" s="26" t="inlineStr">
        <is>
          <t>PENDIENTE: administración no tiene matrícula; residente debe digitar manualmente</t>
        </is>
      </c>
    </row>
    <row r="136">
      <c r="B136" s="5" t="inlineStr">
        <is>
          <t>Bloque 1</t>
        </is>
      </c>
      <c r="C136" s="21" t="n">
        <v>143</v>
      </c>
      <c r="D136" s="5" t="n">
        <v>4</v>
      </c>
      <c r="E136" s="22" t="n">
        <v>58.52</v>
      </c>
      <c r="F136" s="14" t="n">
        <v>0.008584000000000001</v>
      </c>
      <c r="G136" s="14" t="n">
        <v>0.00465</v>
      </c>
      <c r="H136" s="34" t="inlineStr">
        <is>
          <t>280-21XXXX</t>
        </is>
      </c>
      <c r="I136" s="24" t="inlineStr">
        <is>
          <t>PENDIENTE: administración no tiene matrícula; residente debe digitar manualmente</t>
        </is>
      </c>
    </row>
    <row r="137">
      <c r="B137" s="25" t="inlineStr">
        <is>
          <t>Bloque 1</t>
        </is>
      </c>
      <c r="C137" s="26" t="n">
        <v>144</v>
      </c>
      <c r="D137" s="25" t="n">
        <v>4</v>
      </c>
      <c r="E137" s="27" t="n">
        <v>51.3</v>
      </c>
      <c r="F137" s="28" t="n">
        <v>0.007525</v>
      </c>
      <c r="G137" s="28" t="n">
        <v>0.004079999999999999</v>
      </c>
      <c r="H137" s="34" t="inlineStr">
        <is>
          <t>280-21XXXX</t>
        </is>
      </c>
      <c r="I137" s="26" t="inlineStr">
        <is>
          <t>PENDIENTE: administración no tiene matrícula; residente debe digitar manualmente</t>
        </is>
      </c>
    </row>
    <row r="138">
      <c r="B138" s="5" t="inlineStr">
        <is>
          <t>Bloque 1</t>
        </is>
      </c>
      <c r="C138" s="21" t="n">
        <v>151</v>
      </c>
      <c r="D138" s="5" t="n">
        <v>5</v>
      </c>
      <c r="E138" s="22" t="n">
        <v>51.3</v>
      </c>
      <c r="F138" s="14" t="n">
        <v>0.007525</v>
      </c>
      <c r="G138" s="14" t="n">
        <v>0.004079999999999999</v>
      </c>
      <c r="H138" s="34" t="inlineStr">
        <is>
          <t>280-21XXXX</t>
        </is>
      </c>
      <c r="I138" s="24" t="inlineStr">
        <is>
          <t>PENDIENTE: administración no tiene matrícula; residente debe digitar manualmente</t>
        </is>
      </c>
    </row>
    <row r="139">
      <c r="B139" s="25" t="inlineStr">
        <is>
          <t>Bloque 1</t>
        </is>
      </c>
      <c r="C139" s="26" t="n">
        <v>152</v>
      </c>
      <c r="D139" s="25" t="n">
        <v>5</v>
      </c>
      <c r="E139" s="27" t="n">
        <v>58.52</v>
      </c>
      <c r="F139" s="28" t="n">
        <v>0.008584000000000001</v>
      </c>
      <c r="G139" s="28" t="n">
        <v>0.00465</v>
      </c>
      <c r="H139" s="34" t="inlineStr">
        <is>
          <t>280-21XXXX</t>
        </is>
      </c>
      <c r="I139" s="26" t="inlineStr">
        <is>
          <t>PENDIENTE: administración no tiene matrícula; residente debe digitar manualmente</t>
        </is>
      </c>
    </row>
    <row r="140">
      <c r="B140" s="5" t="inlineStr">
        <is>
          <t>Bloque 1</t>
        </is>
      </c>
      <c r="C140" s="21" t="n">
        <v>153</v>
      </c>
      <c r="D140" s="5" t="n">
        <v>5</v>
      </c>
      <c r="E140" s="22" t="n">
        <v>58.52</v>
      </c>
      <c r="F140" s="14" t="n">
        <v>0.008584000000000001</v>
      </c>
      <c r="G140" s="14" t="n">
        <v>0.00465</v>
      </c>
      <c r="H140" s="34" t="inlineStr">
        <is>
          <t>280-21XXXX</t>
        </is>
      </c>
      <c r="I140" s="24" t="inlineStr">
        <is>
          <t>PENDIENTE: administración no tiene matrícula; residente debe digitar manualmente</t>
        </is>
      </c>
    </row>
    <row r="141">
      <c r="B141" s="25" t="inlineStr">
        <is>
          <t>Bloque 1</t>
        </is>
      </c>
      <c r="C141" s="26" t="n">
        <v>154</v>
      </c>
      <c r="D141" s="25" t="n">
        <v>5</v>
      </c>
      <c r="E141" s="27" t="n">
        <v>51.3</v>
      </c>
      <c r="F141" s="28" t="n">
        <v>0.007525</v>
      </c>
      <c r="G141" s="28" t="n">
        <v>0.004079999999999999</v>
      </c>
      <c r="H141" s="34" t="inlineStr">
        <is>
          <t>280-21XXXX</t>
        </is>
      </c>
      <c r="I141" s="26" t="inlineStr">
        <is>
          <t>PENDIENTE: administración no tiene matrícula; residente debe digitar manualmente</t>
        </is>
      </c>
    </row>
    <row r="142">
      <c r="B142" s="5" t="inlineStr">
        <is>
          <t>Bloque 1</t>
        </is>
      </c>
      <c r="C142" s="21" t="n">
        <v>161</v>
      </c>
      <c r="D142" s="5" t="n">
        <v>6</v>
      </c>
      <c r="E142" s="22" t="n">
        <v>51.3</v>
      </c>
      <c r="F142" s="14" t="n">
        <v>0.007525</v>
      </c>
      <c r="G142" s="14" t="n">
        <v>0.004079999999999999</v>
      </c>
      <c r="H142" s="34" t="inlineStr">
        <is>
          <t>280-21XXXX</t>
        </is>
      </c>
      <c r="I142" s="24" t="inlineStr">
        <is>
          <t>PENDIENTE: administración no tiene matrícula; residente debe digitar manualmente</t>
        </is>
      </c>
    </row>
    <row r="143">
      <c r="B143" s="25" t="inlineStr">
        <is>
          <t>Bloque 1</t>
        </is>
      </c>
      <c r="C143" s="26" t="n">
        <v>162</v>
      </c>
      <c r="D143" s="25" t="n">
        <v>6</v>
      </c>
      <c r="E143" s="27" t="n">
        <v>58.52</v>
      </c>
      <c r="F143" s="28" t="n">
        <v>0.008584000000000001</v>
      </c>
      <c r="G143" s="28" t="n">
        <v>0.00465</v>
      </c>
      <c r="H143" s="34" t="inlineStr">
        <is>
          <t>280-21XXXX</t>
        </is>
      </c>
      <c r="I143" s="26" t="inlineStr">
        <is>
          <t>PENDIENTE: administración no tiene matrícula; residente debe digitar manualmente</t>
        </is>
      </c>
    </row>
    <row r="144">
      <c r="B144" s="5" t="inlineStr">
        <is>
          <t>Bloque 1</t>
        </is>
      </c>
      <c r="C144" s="21" t="n">
        <v>163</v>
      </c>
      <c r="D144" s="5" t="n">
        <v>6</v>
      </c>
      <c r="E144" s="22" t="n">
        <v>58.52</v>
      </c>
      <c r="F144" s="14" t="n">
        <v>0.008584000000000001</v>
      </c>
      <c r="G144" s="14" t="n">
        <v>0.00465</v>
      </c>
      <c r="H144" s="34" t="inlineStr">
        <is>
          <t>280-21XXXX</t>
        </is>
      </c>
      <c r="I144" s="24" t="inlineStr">
        <is>
          <t>PENDIENTE: administración no tiene matrícula; residente debe digitar manualmente</t>
        </is>
      </c>
    </row>
    <row r="145">
      <c r="B145" s="25" t="inlineStr">
        <is>
          <t>Bloque 1</t>
        </is>
      </c>
      <c r="C145" s="26" t="n">
        <v>164</v>
      </c>
      <c r="D145" s="25" t="n">
        <v>6</v>
      </c>
      <c r="E145" s="27" t="n">
        <v>51.3</v>
      </c>
      <c r="F145" s="28" t="n">
        <v>0.007525</v>
      </c>
      <c r="G145" s="28" t="n">
        <v>0.004079999999999999</v>
      </c>
      <c r="H145" s="34" t="inlineStr">
        <is>
          <t>280-21XXXX</t>
        </is>
      </c>
      <c r="I145" s="26" t="inlineStr">
        <is>
          <t>PENDIENTE: administración no tiene matrícula; residente debe digitar manualmente</t>
        </is>
      </c>
    </row>
    <row r="146">
      <c r="B146" s="5" t="inlineStr">
        <is>
          <t>Bloque 1</t>
        </is>
      </c>
      <c r="C146" s="21" t="n">
        <v>171</v>
      </c>
      <c r="D146" s="5" t="n">
        <v>7</v>
      </c>
      <c r="E146" s="22" t="n">
        <v>51.3</v>
      </c>
      <c r="F146" s="14" t="n">
        <v>0.007525</v>
      </c>
      <c r="G146" s="14" t="n">
        <v>0.004079999999999999</v>
      </c>
      <c r="H146" s="34" t="inlineStr">
        <is>
          <t>280-21XXXX</t>
        </is>
      </c>
      <c r="I146" s="24" t="inlineStr">
        <is>
          <t>PENDIENTE: administración no tiene matrícula; residente debe digitar manualmente</t>
        </is>
      </c>
    </row>
    <row r="147">
      <c r="B147" s="25" t="inlineStr">
        <is>
          <t>Bloque 1</t>
        </is>
      </c>
      <c r="C147" s="26" t="n">
        <v>172</v>
      </c>
      <c r="D147" s="25" t="n">
        <v>7</v>
      </c>
      <c r="E147" s="27" t="n">
        <v>58.52</v>
      </c>
      <c r="F147" s="28" t="n">
        <v>0.008584000000000001</v>
      </c>
      <c r="G147" s="28" t="n">
        <v>0.00465</v>
      </c>
      <c r="H147" s="34" t="inlineStr">
        <is>
          <t>280-21XXXX</t>
        </is>
      </c>
      <c r="I147" s="26" t="inlineStr">
        <is>
          <t>PENDIENTE: administración no tiene matrícula; residente debe digitar manualmente</t>
        </is>
      </c>
    </row>
    <row r="148">
      <c r="B148" s="5" t="inlineStr">
        <is>
          <t>Bloque 1</t>
        </is>
      </c>
      <c r="C148" s="21" t="n">
        <v>173</v>
      </c>
      <c r="D148" s="5" t="n">
        <v>7</v>
      </c>
      <c r="E148" s="22" t="n">
        <v>58.52</v>
      </c>
      <c r="F148" s="14" t="n">
        <v>0.008584000000000001</v>
      </c>
      <c r="G148" s="14" t="n">
        <v>0.00465</v>
      </c>
      <c r="H148" s="34" t="inlineStr">
        <is>
          <t>280-21XXXX</t>
        </is>
      </c>
      <c r="I148" s="24" t="inlineStr">
        <is>
          <t>PENDIENTE: administración no tiene matrícula; residente debe digitar manualmente</t>
        </is>
      </c>
    </row>
    <row r="149">
      <c r="B149" s="25" t="inlineStr">
        <is>
          <t>Bloque 1</t>
        </is>
      </c>
      <c r="C149" s="26" t="n">
        <v>174</v>
      </c>
      <c r="D149" s="25" t="n">
        <v>7</v>
      </c>
      <c r="E149" s="27" t="n">
        <v>51.3</v>
      </c>
      <c r="F149" s="28" t="n">
        <v>0.007525</v>
      </c>
      <c r="G149" s="28" t="n">
        <v>0.004079999999999999</v>
      </c>
      <c r="H149" s="34" t="inlineStr">
        <is>
          <t>280-21XXXX</t>
        </is>
      </c>
      <c r="I149" s="26" t="inlineStr">
        <is>
          <t>PENDIENTE: administración no tiene matrícula; residente debe digitar manualmente</t>
        </is>
      </c>
    </row>
    <row r="150">
      <c r="B150" s="5" t="inlineStr">
        <is>
          <t>Bloque 1</t>
        </is>
      </c>
      <c r="C150" s="21" t="n">
        <v>181</v>
      </c>
      <c r="D150" s="5" t="n">
        <v>8</v>
      </c>
      <c r="E150" s="22" t="n">
        <v>51.3</v>
      </c>
      <c r="F150" s="14" t="n">
        <v>0.007525</v>
      </c>
      <c r="G150" s="14" t="n">
        <v>0.004079999999999999</v>
      </c>
      <c r="H150" s="34" t="inlineStr">
        <is>
          <t>280-21XXXX</t>
        </is>
      </c>
      <c r="I150" s="24" t="inlineStr">
        <is>
          <t>PENDIENTE: administración no tiene matrícula; residente debe digitar manualmente</t>
        </is>
      </c>
    </row>
    <row r="151">
      <c r="B151" s="25" t="inlineStr">
        <is>
          <t>Bloque 1</t>
        </is>
      </c>
      <c r="C151" s="26" t="n">
        <v>182</v>
      </c>
      <c r="D151" s="25" t="n">
        <v>8</v>
      </c>
      <c r="E151" s="27" t="n">
        <v>58.52</v>
      </c>
      <c r="F151" s="28" t="n">
        <v>0.008584000000000001</v>
      </c>
      <c r="G151" s="28" t="n">
        <v>0.00465</v>
      </c>
      <c r="H151" s="34" t="inlineStr">
        <is>
          <t>280-21XXXX</t>
        </is>
      </c>
      <c r="I151" s="26" t="inlineStr">
        <is>
          <t>PENDIENTE: administración no tiene matrícula; residente debe digitar manualmente</t>
        </is>
      </c>
    </row>
    <row r="152">
      <c r="B152" s="5" t="inlineStr">
        <is>
          <t>Bloque 1</t>
        </is>
      </c>
      <c r="C152" s="21" t="n">
        <v>183</v>
      </c>
      <c r="D152" s="5" t="n">
        <v>8</v>
      </c>
      <c r="E152" s="22" t="n">
        <v>58.52</v>
      </c>
      <c r="F152" s="14" t="n">
        <v>0.008584000000000001</v>
      </c>
      <c r="G152" s="14" t="n">
        <v>0.00465</v>
      </c>
      <c r="H152" s="34" t="inlineStr">
        <is>
          <t>280-21XXXX</t>
        </is>
      </c>
      <c r="I152" s="24" t="inlineStr">
        <is>
          <t>PENDIENTE: administración no tiene matrícula; residente debe digitar manualmente</t>
        </is>
      </c>
    </row>
    <row r="153">
      <c r="B153" s="25" t="inlineStr">
        <is>
          <t>Bloque 1</t>
        </is>
      </c>
      <c r="C153" s="26" t="n">
        <v>184</v>
      </c>
      <c r="D153" s="25" t="n">
        <v>8</v>
      </c>
      <c r="E153" s="27" t="n">
        <v>51.3</v>
      </c>
      <c r="F153" s="28" t="n">
        <v>0.007525</v>
      </c>
      <c r="G153" s="28" t="n">
        <v>0.004079999999999999</v>
      </c>
      <c r="H153" s="34" t="inlineStr">
        <is>
          <t>280-21XXXX</t>
        </is>
      </c>
      <c r="I153" s="26" t="inlineStr">
        <is>
          <t>PENDIENTE: administración no tiene matrícula; residente debe digitar manualmente</t>
        </is>
      </c>
    </row>
    <row r="154">
      <c r="B154" s="5" t="inlineStr">
        <is>
          <t>Bloque 1</t>
        </is>
      </c>
      <c r="C154" s="21" t="n">
        <v>191</v>
      </c>
      <c r="D154" s="5" t="n">
        <v>9</v>
      </c>
      <c r="E154" s="22" t="n">
        <v>51.3</v>
      </c>
      <c r="F154" s="14" t="n">
        <v>0.007525</v>
      </c>
      <c r="G154" s="14" t="n">
        <v>0.004079999999999999</v>
      </c>
      <c r="H154" s="34" t="inlineStr">
        <is>
          <t>280-21XXXX</t>
        </is>
      </c>
      <c r="I154" s="24" t="inlineStr">
        <is>
          <t>PENDIENTE: administración no tiene matrícula; residente debe digitar manualmente</t>
        </is>
      </c>
    </row>
    <row r="155">
      <c r="B155" s="25" t="inlineStr">
        <is>
          <t>Bloque 1</t>
        </is>
      </c>
      <c r="C155" s="26" t="n">
        <v>192</v>
      </c>
      <c r="D155" s="25" t="n">
        <v>9</v>
      </c>
      <c r="E155" s="27" t="n">
        <v>58.52</v>
      </c>
      <c r="F155" s="28" t="n">
        <v>0.008584000000000001</v>
      </c>
      <c r="G155" s="28" t="n">
        <v>0.00465</v>
      </c>
      <c r="H155" s="34" t="inlineStr">
        <is>
          <t>280-21XXXX</t>
        </is>
      </c>
      <c r="I155" s="26" t="inlineStr">
        <is>
          <t>PENDIENTE: administración no tiene matrícula; residente debe digitar manualmente</t>
        </is>
      </c>
    </row>
    <row r="156">
      <c r="B156" s="5" t="inlineStr">
        <is>
          <t>Bloque 1</t>
        </is>
      </c>
      <c r="C156" s="21" t="n">
        <v>193</v>
      </c>
      <c r="D156" s="5" t="n">
        <v>9</v>
      </c>
      <c r="E156" s="22" t="n">
        <v>58.52</v>
      </c>
      <c r="F156" s="14" t="n">
        <v>0.008584000000000001</v>
      </c>
      <c r="G156" s="14" t="n">
        <v>0.00465</v>
      </c>
      <c r="H156" s="34" t="inlineStr">
        <is>
          <t>280-21XXXX</t>
        </is>
      </c>
      <c r="I156" s="24" t="inlineStr">
        <is>
          <t>PENDIENTE: administración no tiene matrícula; residente debe digitar manualmente</t>
        </is>
      </c>
    </row>
    <row r="157">
      <c r="B157" s="25" t="inlineStr">
        <is>
          <t>Bloque 1</t>
        </is>
      </c>
      <c r="C157" s="26" t="n">
        <v>194</v>
      </c>
      <c r="D157" s="25" t="n">
        <v>9</v>
      </c>
      <c r="E157" s="27" t="n">
        <v>51.3</v>
      </c>
      <c r="F157" s="28" t="n">
        <v>0.007525</v>
      </c>
      <c r="G157" s="28" t="n">
        <v>0.004079999999999999</v>
      </c>
      <c r="H157" s="34" t="inlineStr">
        <is>
          <t>280-21XXXX</t>
        </is>
      </c>
      <c r="I157" s="26" t="inlineStr">
        <is>
          <t>PENDIENTE: administración no tiene matrícula; residente debe digitar manualmente</t>
        </is>
      </c>
    </row>
    <row r="158">
      <c r="B158" s="5" t="inlineStr">
        <is>
          <t>Bloque 1</t>
        </is>
      </c>
      <c r="C158" s="21" t="n">
        <v>1101</v>
      </c>
      <c r="D158" s="5" t="n">
        <v>10</v>
      </c>
      <c r="E158" s="22" t="n">
        <v>51.3</v>
      </c>
      <c r="F158" s="14" t="n">
        <v>0.007525</v>
      </c>
      <c r="G158" s="14" t="n">
        <v>0.004079999999999999</v>
      </c>
      <c r="H158" s="34" t="inlineStr">
        <is>
          <t>280-21XXXX</t>
        </is>
      </c>
      <c r="I158" s="24" t="inlineStr">
        <is>
          <t>PENDIENTE: administración no tiene matrícula; residente debe digitar manualmente</t>
        </is>
      </c>
    </row>
    <row r="159">
      <c r="B159" s="25" t="inlineStr">
        <is>
          <t>Bloque 1</t>
        </is>
      </c>
      <c r="C159" s="26" t="n">
        <v>1102</v>
      </c>
      <c r="D159" s="25" t="n">
        <v>10</v>
      </c>
      <c r="E159" s="27" t="n">
        <v>58.52</v>
      </c>
      <c r="F159" s="28" t="n">
        <v>0.008584000000000001</v>
      </c>
      <c r="G159" s="28" t="n">
        <v>0.00465</v>
      </c>
      <c r="H159" s="34" t="inlineStr">
        <is>
          <t>280-21XXXX</t>
        </is>
      </c>
      <c r="I159" s="26" t="inlineStr">
        <is>
          <t>PENDIENTE: administración no tiene matrícula; residente debe digitar manualmente</t>
        </is>
      </c>
    </row>
    <row r="160">
      <c r="B160" s="5" t="inlineStr">
        <is>
          <t>Bloque 1</t>
        </is>
      </c>
      <c r="C160" s="21" t="n">
        <v>1103</v>
      </c>
      <c r="D160" s="5" t="n">
        <v>10</v>
      </c>
      <c r="E160" s="22" t="n">
        <v>58.52</v>
      </c>
      <c r="F160" s="14" t="n">
        <v>0.008584000000000001</v>
      </c>
      <c r="G160" s="14" t="n">
        <v>0.00465</v>
      </c>
      <c r="H160" s="34" t="inlineStr">
        <is>
          <t>280-21XXXX</t>
        </is>
      </c>
      <c r="I160" s="24" t="inlineStr">
        <is>
          <t>PENDIENTE: administración no tiene matrícula; residente debe digitar manualmente</t>
        </is>
      </c>
    </row>
    <row r="161">
      <c r="B161" s="25" t="inlineStr">
        <is>
          <t>Bloque 1</t>
        </is>
      </c>
      <c r="C161" s="26" t="n">
        <v>1104</v>
      </c>
      <c r="D161" s="25" t="n">
        <v>10</v>
      </c>
      <c r="E161" s="27" t="n">
        <v>51.3</v>
      </c>
      <c r="F161" s="28" t="n">
        <v>0.007525</v>
      </c>
      <c r="G161" s="28" t="n">
        <v>0.004079999999999999</v>
      </c>
      <c r="H161" s="34" t="inlineStr">
        <is>
          <t>280-21XXXX</t>
        </is>
      </c>
      <c r="I161" s="26" t="inlineStr">
        <is>
          <t>PENDIENTE: administración no tiene matrícula; residente debe digitar manualmente</t>
        </is>
      </c>
    </row>
    <row r="162">
      <c r="B162" s="5" t="inlineStr">
        <is>
          <t>Bloque 1</t>
        </is>
      </c>
      <c r="C162" s="21" t="n">
        <v>1111</v>
      </c>
      <c r="D162" s="5" t="n">
        <v>11</v>
      </c>
      <c r="E162" s="22" t="n">
        <v>51.3</v>
      </c>
      <c r="F162" s="14" t="n">
        <v>0.007525</v>
      </c>
      <c r="G162" s="14" t="n">
        <v>0.004079999999999999</v>
      </c>
      <c r="H162" s="34" t="inlineStr">
        <is>
          <t>280-21XXXX</t>
        </is>
      </c>
      <c r="I162" s="24" t="inlineStr">
        <is>
          <t>PENDIENTE: administración no tiene matrícula; residente debe digitar manualmente</t>
        </is>
      </c>
    </row>
    <row r="163">
      <c r="B163" s="25" t="inlineStr">
        <is>
          <t>Bloque 1</t>
        </is>
      </c>
      <c r="C163" s="26" t="n">
        <v>1112</v>
      </c>
      <c r="D163" s="25" t="n">
        <v>11</v>
      </c>
      <c r="E163" s="27" t="n">
        <v>58.52</v>
      </c>
      <c r="F163" s="28" t="n">
        <v>0.008584000000000001</v>
      </c>
      <c r="G163" s="28" t="n">
        <v>0.00465</v>
      </c>
      <c r="H163" s="34" t="inlineStr">
        <is>
          <t>280-21XXXX</t>
        </is>
      </c>
      <c r="I163" s="26" t="inlineStr">
        <is>
          <t>PENDIENTE: administración no tiene matrícula; residente debe digitar manualmente</t>
        </is>
      </c>
    </row>
    <row r="164">
      <c r="B164" s="5" t="inlineStr">
        <is>
          <t>Bloque 1</t>
        </is>
      </c>
      <c r="C164" s="21" t="n">
        <v>1113</v>
      </c>
      <c r="D164" s="5" t="n">
        <v>11</v>
      </c>
      <c r="E164" s="22" t="n">
        <v>58.52</v>
      </c>
      <c r="F164" s="14" t="n">
        <v>0.008584000000000001</v>
      </c>
      <c r="G164" s="14" t="n">
        <v>0.00465</v>
      </c>
      <c r="H164" s="34" t="inlineStr">
        <is>
          <t>280-21XXXX</t>
        </is>
      </c>
      <c r="I164" s="24" t="inlineStr">
        <is>
          <t>PENDIENTE: administración no tiene matrícula; residente debe digitar manualmente</t>
        </is>
      </c>
    </row>
    <row r="165">
      <c r="B165" s="25" t="inlineStr">
        <is>
          <t>Bloque 1</t>
        </is>
      </c>
      <c r="C165" s="26" t="n">
        <v>1114</v>
      </c>
      <c r="D165" s="25" t="n">
        <v>11</v>
      </c>
      <c r="E165" s="27" t="n">
        <v>51.3</v>
      </c>
      <c r="F165" s="28" t="n">
        <v>0.007525</v>
      </c>
      <c r="G165" s="28" t="n">
        <v>0.004079999999999999</v>
      </c>
      <c r="H165" s="34" t="inlineStr">
        <is>
          <t>280-21XXXX</t>
        </is>
      </c>
      <c r="I165" s="26" t="inlineStr">
        <is>
          <t>PENDIENTE: administración no tiene matrícula; residente debe digitar manualmente</t>
        </is>
      </c>
    </row>
    <row r="166">
      <c r="B166" s="5" t="inlineStr">
        <is>
          <t>Bloque 1</t>
        </is>
      </c>
      <c r="C166" s="21" t="n">
        <v>1121</v>
      </c>
      <c r="D166" s="5" t="n">
        <v>12</v>
      </c>
      <c r="E166" s="22" t="n">
        <v>51.3</v>
      </c>
      <c r="F166" s="14" t="n">
        <v>0.007525</v>
      </c>
      <c r="G166" s="14" t="n">
        <v>0.004079999999999999</v>
      </c>
      <c r="H166" s="34" t="inlineStr">
        <is>
          <t>280-21XXXX</t>
        </is>
      </c>
      <c r="I166" s="24" t="inlineStr">
        <is>
          <t>PENDIENTE: administración no tiene matrícula; residente debe digitar manualmente</t>
        </is>
      </c>
    </row>
    <row r="167">
      <c r="B167" s="25" t="inlineStr">
        <is>
          <t>Bloque 1</t>
        </is>
      </c>
      <c r="C167" s="26" t="n">
        <v>1122</v>
      </c>
      <c r="D167" s="25" t="n">
        <v>12</v>
      </c>
      <c r="E167" s="27" t="n">
        <v>58.52</v>
      </c>
      <c r="F167" s="28" t="n">
        <v>0.008584000000000001</v>
      </c>
      <c r="G167" s="28" t="n">
        <v>0.00465</v>
      </c>
      <c r="H167" s="34" t="inlineStr">
        <is>
          <t>280-21XXXX</t>
        </is>
      </c>
      <c r="I167" s="26" t="inlineStr">
        <is>
          <t>PENDIENTE: administración no tiene matrícula; residente debe digitar manualmente</t>
        </is>
      </c>
    </row>
    <row r="168">
      <c r="B168" s="5" t="inlineStr">
        <is>
          <t>Bloque 1</t>
        </is>
      </c>
      <c r="C168" s="21" t="n">
        <v>1123</v>
      </c>
      <c r="D168" s="5" t="n">
        <v>12</v>
      </c>
      <c r="E168" s="22" t="n">
        <v>58.52</v>
      </c>
      <c r="F168" s="14" t="n">
        <v>0.008584000000000001</v>
      </c>
      <c r="G168" s="14" t="n">
        <v>0.00465</v>
      </c>
      <c r="H168" s="34" t="inlineStr">
        <is>
          <t>280-21XXXX</t>
        </is>
      </c>
      <c r="I168" s="24" t="inlineStr">
        <is>
          <t>PENDIENTE: administración no tiene matrícula; residente debe digitar manualmente</t>
        </is>
      </c>
    </row>
    <row r="169">
      <c r="B169" s="25" t="inlineStr">
        <is>
          <t>Bloque 1</t>
        </is>
      </c>
      <c r="C169" s="26" t="n">
        <v>1124</v>
      </c>
      <c r="D169" s="25" t="n">
        <v>12</v>
      </c>
      <c r="E169" s="27" t="n">
        <v>51.3</v>
      </c>
      <c r="F169" s="28" t="n">
        <v>0.007525</v>
      </c>
      <c r="G169" s="28" t="n">
        <v>0.004079999999999999</v>
      </c>
      <c r="H169" s="34" t="inlineStr">
        <is>
          <t>280-21XXXX</t>
        </is>
      </c>
      <c r="I169" s="26" t="inlineStr">
        <is>
          <t>PENDIENTE: administración no tiene matrícula; residente debe digitar manualmente</t>
        </is>
      </c>
    </row>
    <row r="170">
      <c r="B170" s="5" t="inlineStr">
        <is>
          <t>Bloque 1</t>
        </is>
      </c>
      <c r="C170" s="21" t="n">
        <v>1131</v>
      </c>
      <c r="D170" s="5" t="n">
        <v>13</v>
      </c>
      <c r="E170" s="22" t="n">
        <v>51.3</v>
      </c>
      <c r="F170" s="14" t="n">
        <v>0.007525</v>
      </c>
      <c r="G170" s="14" t="n">
        <v>0.004079999999999999</v>
      </c>
      <c r="H170" s="34" t="inlineStr">
        <is>
          <t>280-21XXXX</t>
        </is>
      </c>
      <c r="I170" s="24" t="inlineStr">
        <is>
          <t>PENDIENTE: administración no tiene matrícula; residente debe digitar manualmente</t>
        </is>
      </c>
    </row>
    <row r="171">
      <c r="B171" s="25" t="inlineStr">
        <is>
          <t>Bloque 1</t>
        </is>
      </c>
      <c r="C171" s="26" t="n">
        <v>1132</v>
      </c>
      <c r="D171" s="25" t="n">
        <v>13</v>
      </c>
      <c r="E171" s="27" t="n">
        <v>58.52</v>
      </c>
      <c r="F171" s="28" t="n">
        <v>0.008584000000000001</v>
      </c>
      <c r="G171" s="28" t="n">
        <v>0.00465</v>
      </c>
      <c r="H171" s="34" t="inlineStr">
        <is>
          <t>280-21XXXX</t>
        </is>
      </c>
      <c r="I171" s="26" t="inlineStr">
        <is>
          <t>PENDIENTE: administración no tiene matrícula; residente debe digitar manualmente</t>
        </is>
      </c>
    </row>
    <row r="172">
      <c r="B172" s="5" t="inlineStr">
        <is>
          <t>Bloque 1</t>
        </is>
      </c>
      <c r="C172" s="21" t="n">
        <v>1133</v>
      </c>
      <c r="D172" s="5" t="n">
        <v>13</v>
      </c>
      <c r="E172" s="22" t="n">
        <v>58.52</v>
      </c>
      <c r="F172" s="14" t="n">
        <v>0.008584000000000001</v>
      </c>
      <c r="G172" s="14" t="n">
        <v>0.00465</v>
      </c>
      <c r="H172" s="34" t="inlineStr">
        <is>
          <t>280-21XXXX</t>
        </is>
      </c>
      <c r="I172" s="24" t="inlineStr">
        <is>
          <t>PENDIENTE: administración no tiene matrícula; residente debe digitar manualmente</t>
        </is>
      </c>
    </row>
    <row r="173">
      <c r="B173" s="25" t="inlineStr">
        <is>
          <t>Bloque 1</t>
        </is>
      </c>
      <c r="C173" s="26" t="n">
        <v>1134</v>
      </c>
      <c r="D173" s="25" t="n">
        <v>13</v>
      </c>
      <c r="E173" s="27" t="n">
        <v>51.3</v>
      </c>
      <c r="F173" s="28" t="n">
        <v>0.007525</v>
      </c>
      <c r="G173" s="28" t="n">
        <v>0.004079999999999999</v>
      </c>
      <c r="H173" s="34" t="inlineStr">
        <is>
          <t>280-21XXXX</t>
        </is>
      </c>
      <c r="I173" s="26" t="inlineStr">
        <is>
          <t>PENDIENTE: administración no tiene matrícula; residente debe digitar manualmente</t>
        </is>
      </c>
    </row>
    <row r="174">
      <c r="B174" s="5" t="inlineStr">
        <is>
          <t>Bloque 1</t>
        </is>
      </c>
      <c r="C174" s="21" t="n">
        <v>1141</v>
      </c>
      <c r="D174" s="5" t="n">
        <v>14</v>
      </c>
      <c r="E174" s="22" t="n">
        <v>51.3</v>
      </c>
      <c r="F174" s="14" t="n">
        <v>0.007525</v>
      </c>
      <c r="G174" s="14" t="n">
        <v>0.004079999999999999</v>
      </c>
      <c r="H174" s="34" t="inlineStr">
        <is>
          <t>280-21XXXX</t>
        </is>
      </c>
      <c r="I174" s="24" t="inlineStr">
        <is>
          <t>PENDIENTE: administración no tiene matrícula; residente debe digitar manualmente</t>
        </is>
      </c>
    </row>
    <row r="175">
      <c r="B175" s="25" t="inlineStr">
        <is>
          <t>Bloque 1</t>
        </is>
      </c>
      <c r="C175" s="26" t="n">
        <v>1142</v>
      </c>
      <c r="D175" s="25" t="n">
        <v>14</v>
      </c>
      <c r="E175" s="27" t="n">
        <v>58.52</v>
      </c>
      <c r="F175" s="28" t="n">
        <v>0.008584000000000001</v>
      </c>
      <c r="G175" s="28" t="n">
        <v>0.00465</v>
      </c>
      <c r="H175" s="34" t="inlineStr">
        <is>
          <t>280-21XXXX</t>
        </is>
      </c>
      <c r="I175" s="26" t="inlineStr">
        <is>
          <t>PENDIENTE: administración no tiene matrícula; residente debe digitar manualmente</t>
        </is>
      </c>
    </row>
    <row r="176">
      <c r="B176" s="5" t="inlineStr">
        <is>
          <t>Bloque 1</t>
        </is>
      </c>
      <c r="C176" s="21" t="n">
        <v>1143</v>
      </c>
      <c r="D176" s="5" t="n">
        <v>14</v>
      </c>
      <c r="E176" s="22" t="n">
        <v>58.52</v>
      </c>
      <c r="F176" s="14" t="n">
        <v>0.008584000000000001</v>
      </c>
      <c r="G176" s="14" t="n">
        <v>0.00465</v>
      </c>
      <c r="H176" s="34" t="inlineStr">
        <is>
          <t>280-21XXXX</t>
        </is>
      </c>
      <c r="I176" s="24" t="inlineStr">
        <is>
          <t>PENDIENTE: administración no tiene matrícula; residente debe digitar manualmente</t>
        </is>
      </c>
    </row>
    <row r="177">
      <c r="B177" s="25" t="inlineStr">
        <is>
          <t>Bloque 1</t>
        </is>
      </c>
      <c r="C177" s="26" t="n">
        <v>1144</v>
      </c>
      <c r="D177" s="25" t="n">
        <v>14</v>
      </c>
      <c r="E177" s="27" t="n">
        <v>51.3</v>
      </c>
      <c r="F177" s="28" t="n">
        <v>0.007525</v>
      </c>
      <c r="G177" s="28" t="n">
        <v>0.004079999999999999</v>
      </c>
      <c r="H177" s="34" t="inlineStr">
        <is>
          <t>280-21XXXX</t>
        </is>
      </c>
      <c r="I177" s="26" t="inlineStr">
        <is>
          <t>PENDIENTE: administración no tiene matrícula; residente debe digitar manualmente</t>
        </is>
      </c>
    </row>
    <row r="178">
      <c r="B178" s="5" t="inlineStr">
        <is>
          <t>Bloque 2</t>
        </is>
      </c>
      <c r="C178" s="21" t="n">
        <v>211</v>
      </c>
      <c r="D178" s="5" t="n">
        <v>1</v>
      </c>
      <c r="E178" s="22" t="n">
        <v>58.52</v>
      </c>
      <c r="F178" s="14" t="n">
        <v>0.008584000000000001</v>
      </c>
      <c r="G178" s="14" t="n">
        <v>0.00465</v>
      </c>
      <c r="H178" s="34" t="inlineStr">
        <is>
          <t>280-21XXXX</t>
        </is>
      </c>
      <c r="I178" s="24" t="inlineStr">
        <is>
          <t>PENDIENTE: administración no tiene matrícula; residente debe digitar manualmente</t>
        </is>
      </c>
    </row>
    <row r="179">
      <c r="B179" s="25" t="inlineStr">
        <is>
          <t>Bloque 2</t>
        </is>
      </c>
      <c r="C179" s="26" t="n">
        <v>212</v>
      </c>
      <c r="D179" s="25" t="n">
        <v>1</v>
      </c>
      <c r="E179" s="27" t="n">
        <v>46</v>
      </c>
      <c r="F179" s="28" t="n">
        <v>0.006747</v>
      </c>
      <c r="G179" s="28" t="n">
        <v>0.00365</v>
      </c>
      <c r="H179" s="34" t="inlineStr">
        <is>
          <t>280-21XXXX</t>
        </is>
      </c>
      <c r="I179" s="26" t="inlineStr">
        <is>
          <t>PENDIENTE: administración no tiene matrícula; residente debe digitar manualmente</t>
        </is>
      </c>
    </row>
    <row r="180">
      <c r="B180" s="5" t="inlineStr">
        <is>
          <t>Bloque 2</t>
        </is>
      </c>
      <c r="C180" s="21" t="n">
        <v>213</v>
      </c>
      <c r="D180" s="5" t="n">
        <v>1</v>
      </c>
      <c r="E180" s="22" t="n">
        <v>46</v>
      </c>
      <c r="F180" s="14" t="n">
        <v>0.006747</v>
      </c>
      <c r="G180" s="14" t="n">
        <v>0.00365</v>
      </c>
      <c r="H180" s="34" t="inlineStr">
        <is>
          <t>280-21XXXX</t>
        </is>
      </c>
      <c r="I180" s="24" t="inlineStr">
        <is>
          <t>PENDIENTE: administración no tiene matrícula; residente debe digitar manualmente</t>
        </is>
      </c>
    </row>
    <row r="181">
      <c r="B181" s="25" t="inlineStr">
        <is>
          <t>Bloque 2</t>
        </is>
      </c>
      <c r="C181" s="26" t="n">
        <v>214</v>
      </c>
      <c r="D181" s="25" t="n">
        <v>1</v>
      </c>
      <c r="E181" s="27" t="n">
        <v>58.52</v>
      </c>
      <c r="F181" s="28" t="n">
        <v>0.008584000000000001</v>
      </c>
      <c r="G181" s="28" t="n">
        <v>0.00465</v>
      </c>
      <c r="H181" s="34" t="inlineStr">
        <is>
          <t>280-21XXXX</t>
        </is>
      </c>
      <c r="I181" s="26" t="inlineStr">
        <is>
          <t>PENDIENTE: administración no tiene matrícula; residente debe digitar manualmente</t>
        </is>
      </c>
    </row>
    <row r="182">
      <c r="B182" s="5" t="inlineStr">
        <is>
          <t>Bloque 2</t>
        </is>
      </c>
      <c r="C182" s="21" t="n">
        <v>221</v>
      </c>
      <c r="D182" s="5" t="n">
        <v>2</v>
      </c>
      <c r="E182" s="22" t="n">
        <v>58.52</v>
      </c>
      <c r="F182" s="14" t="n">
        <v>0.008584000000000001</v>
      </c>
      <c r="G182" s="14" t="n">
        <v>0.00465</v>
      </c>
      <c r="H182" s="34" t="inlineStr">
        <is>
          <t>280-21XXXX</t>
        </is>
      </c>
      <c r="I182" s="24" t="inlineStr">
        <is>
          <t>PENDIENTE: administración no tiene matrícula; residente debe digitar manualmente</t>
        </is>
      </c>
    </row>
    <row r="183">
      <c r="B183" s="25" t="inlineStr">
        <is>
          <t>Bloque 2</t>
        </is>
      </c>
      <c r="C183" s="26" t="n">
        <v>222</v>
      </c>
      <c r="D183" s="25" t="n">
        <v>2</v>
      </c>
      <c r="E183" s="27" t="n">
        <v>46</v>
      </c>
      <c r="F183" s="28" t="n">
        <v>0.006747</v>
      </c>
      <c r="G183" s="28" t="n">
        <v>0.00365</v>
      </c>
      <c r="H183" s="34" t="inlineStr">
        <is>
          <t>280-21XXXX</t>
        </is>
      </c>
      <c r="I183" s="26" t="inlineStr">
        <is>
          <t>PENDIENTE: administración no tiene matrícula; residente debe digitar manualmente</t>
        </is>
      </c>
    </row>
    <row r="184">
      <c r="B184" s="5" t="inlineStr">
        <is>
          <t>Bloque 2</t>
        </is>
      </c>
      <c r="C184" s="21" t="n">
        <v>223</v>
      </c>
      <c r="D184" s="5" t="n">
        <v>2</v>
      </c>
      <c r="E184" s="22" t="n">
        <v>46</v>
      </c>
      <c r="F184" s="14" t="n">
        <v>0.006747</v>
      </c>
      <c r="G184" s="14" t="n">
        <v>0.00365</v>
      </c>
      <c r="H184" s="34" t="inlineStr">
        <is>
          <t>280-21XXXX</t>
        </is>
      </c>
      <c r="I184" s="24" t="inlineStr">
        <is>
          <t>PENDIENTE: administración no tiene matrícula; residente debe digitar manualmente</t>
        </is>
      </c>
    </row>
    <row r="185">
      <c r="B185" s="25" t="inlineStr">
        <is>
          <t>Bloque 2</t>
        </is>
      </c>
      <c r="C185" s="26" t="n">
        <v>224</v>
      </c>
      <c r="D185" s="25" t="n">
        <v>2</v>
      </c>
      <c r="E185" s="27" t="n">
        <v>58.52</v>
      </c>
      <c r="F185" s="28" t="n">
        <v>0.008584000000000001</v>
      </c>
      <c r="G185" s="28" t="n">
        <v>0.00465</v>
      </c>
      <c r="H185" s="34" t="inlineStr">
        <is>
          <t>280-21XXXX</t>
        </is>
      </c>
      <c r="I185" s="26" t="inlineStr">
        <is>
          <t>PENDIENTE: administración no tiene matrícula; residente debe digitar manualmente</t>
        </is>
      </c>
    </row>
    <row r="186">
      <c r="B186" s="5" t="inlineStr">
        <is>
          <t>Bloque 2</t>
        </is>
      </c>
      <c r="C186" s="21" t="n">
        <v>231</v>
      </c>
      <c r="D186" s="5" t="n">
        <v>3</v>
      </c>
      <c r="E186" s="22" t="n">
        <v>58.52</v>
      </c>
      <c r="F186" s="14" t="n">
        <v>0.008584000000000001</v>
      </c>
      <c r="G186" s="14" t="n">
        <v>0.00465</v>
      </c>
      <c r="H186" s="34" t="inlineStr">
        <is>
          <t>280-21XXXX</t>
        </is>
      </c>
      <c r="I186" s="24" t="inlineStr">
        <is>
          <t>PENDIENTE: administración no tiene matrícula; residente debe digitar manualmente</t>
        </is>
      </c>
    </row>
    <row r="187">
      <c r="B187" s="25" t="inlineStr">
        <is>
          <t>Bloque 2</t>
        </is>
      </c>
      <c r="C187" s="26" t="n">
        <v>232</v>
      </c>
      <c r="D187" s="25" t="n">
        <v>3</v>
      </c>
      <c r="E187" s="27" t="n">
        <v>46</v>
      </c>
      <c r="F187" s="28" t="n">
        <v>0.006747</v>
      </c>
      <c r="G187" s="28" t="n">
        <v>0.00365</v>
      </c>
      <c r="H187" s="34" t="inlineStr">
        <is>
          <t>280-21XXXX</t>
        </is>
      </c>
      <c r="I187" s="26" t="inlineStr">
        <is>
          <t>PENDIENTE: administración no tiene matrícula; residente debe digitar manualmente</t>
        </is>
      </c>
    </row>
    <row r="188">
      <c r="B188" s="5" t="inlineStr">
        <is>
          <t>Bloque 2</t>
        </is>
      </c>
      <c r="C188" s="21" t="n">
        <v>233</v>
      </c>
      <c r="D188" s="5" t="n">
        <v>3</v>
      </c>
      <c r="E188" s="22" t="n">
        <v>46</v>
      </c>
      <c r="F188" s="14" t="n">
        <v>0.006747</v>
      </c>
      <c r="G188" s="14" t="n">
        <v>0.00365</v>
      </c>
      <c r="H188" s="34" t="inlineStr">
        <is>
          <t>280-21XXXX</t>
        </is>
      </c>
      <c r="I188" s="24" t="inlineStr">
        <is>
          <t>PENDIENTE: administración no tiene matrícula; residente debe digitar manualmente</t>
        </is>
      </c>
    </row>
    <row r="189">
      <c r="B189" s="25" t="inlineStr">
        <is>
          <t>Bloque 2</t>
        </is>
      </c>
      <c r="C189" s="26" t="n">
        <v>234</v>
      </c>
      <c r="D189" s="25" t="n">
        <v>3</v>
      </c>
      <c r="E189" s="27" t="n">
        <v>58.52</v>
      </c>
      <c r="F189" s="28" t="n">
        <v>0.008584000000000001</v>
      </c>
      <c r="G189" s="28" t="n">
        <v>0.00465</v>
      </c>
      <c r="H189" s="34" t="inlineStr">
        <is>
          <t>280-21XXXX</t>
        </is>
      </c>
      <c r="I189" s="26" t="inlineStr">
        <is>
          <t>PENDIENTE: administración no tiene matrícula; residente debe digitar manualmente</t>
        </is>
      </c>
    </row>
    <row r="190">
      <c r="B190" s="5" t="inlineStr">
        <is>
          <t>Bloque 2</t>
        </is>
      </c>
      <c r="C190" s="21" t="n">
        <v>241</v>
      </c>
      <c r="D190" s="5" t="n">
        <v>4</v>
      </c>
      <c r="E190" s="22" t="n">
        <v>58.52</v>
      </c>
      <c r="F190" s="14" t="n">
        <v>0.008584000000000001</v>
      </c>
      <c r="G190" s="14" t="n">
        <v>0.00465</v>
      </c>
      <c r="H190" s="34" t="inlineStr">
        <is>
          <t>280-21XXXX</t>
        </is>
      </c>
      <c r="I190" s="24" t="inlineStr">
        <is>
          <t>PENDIENTE: administración no tiene matrícula; residente debe digitar manualmente</t>
        </is>
      </c>
    </row>
    <row r="191">
      <c r="B191" s="25" t="inlineStr">
        <is>
          <t>Bloque 2</t>
        </is>
      </c>
      <c r="C191" s="26" t="n">
        <v>242</v>
      </c>
      <c r="D191" s="25" t="n">
        <v>4</v>
      </c>
      <c r="E191" s="27" t="n">
        <v>46</v>
      </c>
      <c r="F191" s="28" t="n">
        <v>0.006747</v>
      </c>
      <c r="G191" s="28" t="n">
        <v>0.00365</v>
      </c>
      <c r="H191" s="34" t="inlineStr">
        <is>
          <t>280-21XXXX</t>
        </is>
      </c>
      <c r="I191" s="26" t="inlineStr">
        <is>
          <t>PENDIENTE: administración no tiene matrícula; residente debe digitar manualmente</t>
        </is>
      </c>
    </row>
    <row r="192">
      <c r="B192" s="5" t="inlineStr">
        <is>
          <t>Bloque 2</t>
        </is>
      </c>
      <c r="C192" s="21" t="n">
        <v>243</v>
      </c>
      <c r="D192" s="5" t="n">
        <v>4</v>
      </c>
      <c r="E192" s="22" t="n">
        <v>46</v>
      </c>
      <c r="F192" s="14" t="n">
        <v>0.006747</v>
      </c>
      <c r="G192" s="14" t="n">
        <v>0.00365</v>
      </c>
      <c r="H192" s="34" t="inlineStr">
        <is>
          <t>280-21XXXX</t>
        </is>
      </c>
      <c r="I192" s="24" t="inlineStr">
        <is>
          <t>PENDIENTE: administración no tiene matrícula; residente debe digitar manualmente</t>
        </is>
      </c>
    </row>
    <row r="193">
      <c r="B193" s="25" t="inlineStr">
        <is>
          <t>Bloque 2</t>
        </is>
      </c>
      <c r="C193" s="26" t="n">
        <v>244</v>
      </c>
      <c r="D193" s="25" t="n">
        <v>4</v>
      </c>
      <c r="E193" s="27" t="n">
        <v>58.52</v>
      </c>
      <c r="F193" s="28" t="n">
        <v>0.008584000000000001</v>
      </c>
      <c r="G193" s="28" t="n">
        <v>0.00465</v>
      </c>
      <c r="H193" s="34" t="inlineStr">
        <is>
          <t>280-21XXXX</t>
        </is>
      </c>
      <c r="I193" s="26" t="inlineStr">
        <is>
          <t>PENDIENTE: administración no tiene matrícula; residente debe digitar manualmente</t>
        </is>
      </c>
    </row>
    <row r="194">
      <c r="B194" s="5" t="inlineStr">
        <is>
          <t>Bloque 2</t>
        </is>
      </c>
      <c r="C194" s="21" t="n">
        <v>251</v>
      </c>
      <c r="D194" s="5" t="n">
        <v>5</v>
      </c>
      <c r="E194" s="22" t="n">
        <v>58.52</v>
      </c>
      <c r="F194" s="14" t="n">
        <v>0.008584000000000001</v>
      </c>
      <c r="G194" s="14" t="n">
        <v>0.00465</v>
      </c>
      <c r="H194" s="34" t="inlineStr">
        <is>
          <t>280-21XXXX</t>
        </is>
      </c>
      <c r="I194" s="24" t="inlineStr">
        <is>
          <t>PENDIENTE: administración no tiene matrícula; residente debe digitar manualmente</t>
        </is>
      </c>
    </row>
    <row r="195">
      <c r="B195" s="25" t="inlineStr">
        <is>
          <t>Bloque 2</t>
        </is>
      </c>
      <c r="C195" s="26" t="n">
        <v>252</v>
      </c>
      <c r="D195" s="25" t="n">
        <v>5</v>
      </c>
      <c r="E195" s="27" t="n">
        <v>46</v>
      </c>
      <c r="F195" s="28" t="n">
        <v>0.006747</v>
      </c>
      <c r="G195" s="28" t="n">
        <v>0.00365</v>
      </c>
      <c r="H195" s="34" t="inlineStr">
        <is>
          <t>280-21XXXX</t>
        </is>
      </c>
      <c r="I195" s="26" t="inlineStr">
        <is>
          <t>PENDIENTE: administración no tiene matrícula; residente debe digitar manualmente</t>
        </is>
      </c>
    </row>
    <row r="196">
      <c r="B196" s="5" t="inlineStr">
        <is>
          <t>Bloque 2</t>
        </is>
      </c>
      <c r="C196" s="21" t="n">
        <v>253</v>
      </c>
      <c r="D196" s="5" t="n">
        <v>5</v>
      </c>
      <c r="E196" s="22" t="n">
        <v>46</v>
      </c>
      <c r="F196" s="14" t="n">
        <v>0.006747</v>
      </c>
      <c r="G196" s="14" t="n">
        <v>0.00365</v>
      </c>
      <c r="H196" s="34" t="inlineStr">
        <is>
          <t>280-21XXXX</t>
        </is>
      </c>
      <c r="I196" s="24" t="inlineStr">
        <is>
          <t>PENDIENTE: administración no tiene matrícula; residente debe digitar manualmente</t>
        </is>
      </c>
    </row>
    <row r="197">
      <c r="B197" s="25" t="inlineStr">
        <is>
          <t>Bloque 2</t>
        </is>
      </c>
      <c r="C197" s="26" t="n">
        <v>254</v>
      </c>
      <c r="D197" s="25" t="n">
        <v>5</v>
      </c>
      <c r="E197" s="27" t="n">
        <v>58.52</v>
      </c>
      <c r="F197" s="28" t="n">
        <v>0.008584000000000001</v>
      </c>
      <c r="G197" s="28" t="n">
        <v>0.00465</v>
      </c>
      <c r="H197" s="34" t="inlineStr">
        <is>
          <t>280-21XXXX</t>
        </is>
      </c>
      <c r="I197" s="26" t="inlineStr">
        <is>
          <t>PENDIENTE: administración no tiene matrícula; residente debe digitar manualmente</t>
        </is>
      </c>
    </row>
    <row r="198">
      <c r="B198" s="5" t="inlineStr">
        <is>
          <t>Bloque 2</t>
        </is>
      </c>
      <c r="C198" s="21" t="n">
        <v>261</v>
      </c>
      <c r="D198" s="5" t="n">
        <v>6</v>
      </c>
      <c r="E198" s="22" t="n">
        <v>58.52</v>
      </c>
      <c r="F198" s="14" t="n">
        <v>0.008584000000000001</v>
      </c>
      <c r="G198" s="14" t="n">
        <v>0.00465</v>
      </c>
      <c r="H198" s="34" t="inlineStr">
        <is>
          <t>280-21XXXX</t>
        </is>
      </c>
      <c r="I198" s="24" t="inlineStr">
        <is>
          <t>PENDIENTE: administración no tiene matrícula; residente debe digitar manualmente</t>
        </is>
      </c>
    </row>
    <row r="199">
      <c r="B199" s="25" t="inlineStr">
        <is>
          <t>Bloque 2</t>
        </is>
      </c>
      <c r="C199" s="26" t="n">
        <v>262</v>
      </c>
      <c r="D199" s="25" t="n">
        <v>6</v>
      </c>
      <c r="E199" s="27" t="n">
        <v>46</v>
      </c>
      <c r="F199" s="28" t="n">
        <v>0.006747</v>
      </c>
      <c r="G199" s="28" t="n">
        <v>0.00365</v>
      </c>
      <c r="H199" s="34" t="inlineStr">
        <is>
          <t>280-21XXXX</t>
        </is>
      </c>
      <c r="I199" s="26" t="inlineStr">
        <is>
          <t>PENDIENTE: administración no tiene matrícula; residente debe digitar manualmente</t>
        </is>
      </c>
    </row>
    <row r="200">
      <c r="B200" s="5" t="inlineStr">
        <is>
          <t>Bloque 2</t>
        </is>
      </c>
      <c r="C200" s="21" t="n">
        <v>263</v>
      </c>
      <c r="D200" s="5" t="n">
        <v>6</v>
      </c>
      <c r="E200" s="22" t="n">
        <v>46</v>
      </c>
      <c r="F200" s="14" t="n">
        <v>0.006747</v>
      </c>
      <c r="G200" s="14" t="n">
        <v>0.00365</v>
      </c>
      <c r="H200" s="34" t="inlineStr">
        <is>
          <t>280-21XXXX</t>
        </is>
      </c>
      <c r="I200" s="24" t="inlineStr">
        <is>
          <t>PENDIENTE: administración no tiene matrícula; residente debe digitar manualmente</t>
        </is>
      </c>
    </row>
    <row r="201">
      <c r="B201" s="25" t="inlineStr">
        <is>
          <t>Bloque 2</t>
        </is>
      </c>
      <c r="C201" s="26" t="n">
        <v>264</v>
      </c>
      <c r="D201" s="25" t="n">
        <v>6</v>
      </c>
      <c r="E201" s="27" t="n">
        <v>58.52</v>
      </c>
      <c r="F201" s="28" t="n">
        <v>0.008584000000000001</v>
      </c>
      <c r="G201" s="28" t="n">
        <v>0.00465</v>
      </c>
      <c r="H201" s="34" t="inlineStr">
        <is>
          <t>280-21XXXX</t>
        </is>
      </c>
      <c r="I201" s="26" t="inlineStr">
        <is>
          <t>PENDIENTE: administración no tiene matrícula; residente debe digitar manualmente</t>
        </is>
      </c>
    </row>
    <row r="202">
      <c r="B202" s="5" t="inlineStr">
        <is>
          <t>Bloque 2</t>
        </is>
      </c>
      <c r="C202" s="21" t="n">
        <v>271</v>
      </c>
      <c r="D202" s="5" t="n">
        <v>7</v>
      </c>
      <c r="E202" s="22" t="n">
        <v>58.52</v>
      </c>
      <c r="F202" s="14" t="n">
        <v>0.008584000000000001</v>
      </c>
      <c r="G202" s="14" t="n">
        <v>0.00465</v>
      </c>
      <c r="H202" s="34" t="inlineStr">
        <is>
          <t>280-21XXXX</t>
        </is>
      </c>
      <c r="I202" s="24" t="inlineStr">
        <is>
          <t>PENDIENTE: administración no tiene matrícula; residente debe digitar manualmente</t>
        </is>
      </c>
    </row>
    <row r="203">
      <c r="B203" s="25" t="inlineStr">
        <is>
          <t>Bloque 2</t>
        </is>
      </c>
      <c r="C203" s="26" t="n">
        <v>272</v>
      </c>
      <c r="D203" s="25" t="n">
        <v>7</v>
      </c>
      <c r="E203" s="27" t="n">
        <v>46</v>
      </c>
      <c r="F203" s="28" t="n">
        <v>0.006747</v>
      </c>
      <c r="G203" s="28" t="n">
        <v>0.00365</v>
      </c>
      <c r="H203" s="34" t="inlineStr">
        <is>
          <t>280-21XXXX</t>
        </is>
      </c>
      <c r="I203" s="26" t="inlineStr">
        <is>
          <t>PENDIENTE: administración no tiene matrícula; residente debe digitar manualmente</t>
        </is>
      </c>
    </row>
    <row r="204">
      <c r="B204" s="5" t="inlineStr">
        <is>
          <t>Bloque 2</t>
        </is>
      </c>
      <c r="C204" s="21" t="n">
        <v>273</v>
      </c>
      <c r="D204" s="5" t="n">
        <v>7</v>
      </c>
      <c r="E204" s="22" t="n">
        <v>46</v>
      </c>
      <c r="F204" s="14" t="n">
        <v>0.006747</v>
      </c>
      <c r="G204" s="14" t="n">
        <v>0.00365</v>
      </c>
      <c r="H204" s="34" t="inlineStr">
        <is>
          <t>280-21XXXX</t>
        </is>
      </c>
      <c r="I204" s="24" t="inlineStr">
        <is>
          <t>PENDIENTE: administración no tiene matrícula; residente debe digitar manualmente</t>
        </is>
      </c>
    </row>
    <row r="205">
      <c r="B205" s="25" t="inlineStr">
        <is>
          <t>Bloque 2</t>
        </is>
      </c>
      <c r="C205" s="26" t="n">
        <v>274</v>
      </c>
      <c r="D205" s="25" t="n">
        <v>7</v>
      </c>
      <c r="E205" s="27" t="n">
        <v>58.52</v>
      </c>
      <c r="F205" s="28" t="n">
        <v>0.008584000000000001</v>
      </c>
      <c r="G205" s="28" t="n">
        <v>0.00465</v>
      </c>
      <c r="H205" s="34" t="inlineStr">
        <is>
          <t>280-21XXXX</t>
        </is>
      </c>
      <c r="I205" s="26" t="inlineStr">
        <is>
          <t>PENDIENTE: administración no tiene matrícula; residente debe digitar manualmente</t>
        </is>
      </c>
    </row>
    <row r="206">
      <c r="B206" s="5" t="inlineStr">
        <is>
          <t>Bloque 2</t>
        </is>
      </c>
      <c r="C206" s="21" t="n">
        <v>281</v>
      </c>
      <c r="D206" s="5" t="n">
        <v>8</v>
      </c>
      <c r="E206" s="22" t="n">
        <v>58.52</v>
      </c>
      <c r="F206" s="14" t="n">
        <v>0.008584000000000001</v>
      </c>
      <c r="G206" s="14" t="n">
        <v>0.00465</v>
      </c>
      <c r="H206" s="34" t="inlineStr">
        <is>
          <t>280-21XXXX</t>
        </is>
      </c>
      <c r="I206" s="24" t="inlineStr">
        <is>
          <t>PENDIENTE: administración no tiene matrícula; residente debe digitar manualmente</t>
        </is>
      </c>
    </row>
    <row r="207">
      <c r="B207" s="25" t="inlineStr">
        <is>
          <t>Bloque 2</t>
        </is>
      </c>
      <c r="C207" s="26" t="n">
        <v>282</v>
      </c>
      <c r="D207" s="25" t="n">
        <v>8</v>
      </c>
      <c r="E207" s="27" t="n">
        <v>46</v>
      </c>
      <c r="F207" s="28" t="n">
        <v>0.006747</v>
      </c>
      <c r="G207" s="28" t="n">
        <v>0.00365</v>
      </c>
      <c r="H207" s="34" t="inlineStr">
        <is>
          <t>280-21XXXX</t>
        </is>
      </c>
      <c r="I207" s="26" t="inlineStr">
        <is>
          <t>PENDIENTE: administración no tiene matrícula; residente debe digitar manualmente</t>
        </is>
      </c>
    </row>
    <row r="208">
      <c r="B208" s="5" t="inlineStr">
        <is>
          <t>Bloque 2</t>
        </is>
      </c>
      <c r="C208" s="21" t="n">
        <v>283</v>
      </c>
      <c r="D208" s="5" t="n">
        <v>8</v>
      </c>
      <c r="E208" s="22" t="n">
        <v>46</v>
      </c>
      <c r="F208" s="14" t="n">
        <v>0.006747</v>
      </c>
      <c r="G208" s="14" t="n">
        <v>0.00365</v>
      </c>
      <c r="H208" s="34" t="inlineStr">
        <is>
          <t>280-21XXXX</t>
        </is>
      </c>
      <c r="I208" s="24" t="inlineStr">
        <is>
          <t>PENDIENTE: administración no tiene matrícula; residente debe digitar manualmente</t>
        </is>
      </c>
    </row>
    <row r="209">
      <c r="B209" s="25" t="inlineStr">
        <is>
          <t>Bloque 2</t>
        </is>
      </c>
      <c r="C209" s="26" t="n">
        <v>284</v>
      </c>
      <c r="D209" s="25" t="n">
        <v>8</v>
      </c>
      <c r="E209" s="27" t="n">
        <v>58.52</v>
      </c>
      <c r="F209" s="28" t="n">
        <v>0.008584000000000001</v>
      </c>
      <c r="G209" s="28" t="n">
        <v>0.00465</v>
      </c>
      <c r="H209" s="34" t="inlineStr">
        <is>
          <t>280-21XXXX</t>
        </is>
      </c>
      <c r="I209" s="26" t="inlineStr">
        <is>
          <t>PENDIENTE: administración no tiene matrícula; residente debe digitar manualmente</t>
        </is>
      </c>
    </row>
    <row r="210">
      <c r="B210" s="5" t="inlineStr">
        <is>
          <t>Bloque 2</t>
        </is>
      </c>
      <c r="C210" s="21" t="n">
        <v>291</v>
      </c>
      <c r="D210" s="5" t="n">
        <v>9</v>
      </c>
      <c r="E210" s="22" t="n">
        <v>58.52</v>
      </c>
      <c r="F210" s="14" t="n">
        <v>0.008584000000000001</v>
      </c>
      <c r="G210" s="14" t="n">
        <v>0.00465</v>
      </c>
      <c r="H210" s="34" t="inlineStr">
        <is>
          <t>280-21XXXX</t>
        </is>
      </c>
      <c r="I210" s="24" t="inlineStr">
        <is>
          <t>PENDIENTE: administración no tiene matrícula; residente debe digitar manualmente</t>
        </is>
      </c>
    </row>
    <row r="211">
      <c r="B211" s="25" t="inlineStr">
        <is>
          <t>Bloque 2</t>
        </is>
      </c>
      <c r="C211" s="26" t="n">
        <v>292</v>
      </c>
      <c r="D211" s="25" t="n">
        <v>9</v>
      </c>
      <c r="E211" s="27" t="n">
        <v>46</v>
      </c>
      <c r="F211" s="28" t="n">
        <v>0.006747</v>
      </c>
      <c r="G211" s="28" t="n">
        <v>0.00365</v>
      </c>
      <c r="H211" s="34" t="inlineStr">
        <is>
          <t>280-21XXXX</t>
        </is>
      </c>
      <c r="I211" s="26" t="inlineStr">
        <is>
          <t>PENDIENTE: administración no tiene matrícula; residente debe digitar manualmente</t>
        </is>
      </c>
    </row>
    <row r="212">
      <c r="B212" s="5" t="inlineStr">
        <is>
          <t>Bloque 2</t>
        </is>
      </c>
      <c r="C212" s="21" t="n">
        <v>293</v>
      </c>
      <c r="D212" s="5" t="n">
        <v>9</v>
      </c>
      <c r="E212" s="22" t="n">
        <v>46</v>
      </c>
      <c r="F212" s="14" t="n">
        <v>0.006747</v>
      </c>
      <c r="G212" s="14" t="n">
        <v>0.00365</v>
      </c>
      <c r="H212" s="34" t="inlineStr">
        <is>
          <t>280-21XXXX</t>
        </is>
      </c>
      <c r="I212" s="24" t="inlineStr">
        <is>
          <t>PENDIENTE: administración no tiene matrícula; residente debe digitar manualmente</t>
        </is>
      </c>
    </row>
    <row r="213">
      <c r="B213" s="25" t="inlineStr">
        <is>
          <t>Bloque 2</t>
        </is>
      </c>
      <c r="C213" s="26" t="n">
        <v>294</v>
      </c>
      <c r="D213" s="25" t="n">
        <v>9</v>
      </c>
      <c r="E213" s="27" t="n">
        <v>58.52</v>
      </c>
      <c r="F213" s="28" t="n">
        <v>0.008584000000000001</v>
      </c>
      <c r="G213" s="28" t="n">
        <v>0.00465</v>
      </c>
      <c r="H213" s="34" t="inlineStr">
        <is>
          <t>280-21XXXX</t>
        </is>
      </c>
      <c r="I213" s="26" t="inlineStr">
        <is>
          <t>PENDIENTE: administración no tiene matrícula; residente debe digitar manualmente</t>
        </is>
      </c>
    </row>
    <row r="214">
      <c r="B214" s="5" t="inlineStr">
        <is>
          <t>Bloque 2</t>
        </is>
      </c>
      <c r="C214" s="21" t="n">
        <v>2101</v>
      </c>
      <c r="D214" s="5" t="n">
        <v>10</v>
      </c>
      <c r="E214" s="22" t="n">
        <v>58.52</v>
      </c>
      <c r="F214" s="14" t="n">
        <v>0.008584000000000001</v>
      </c>
      <c r="G214" s="14" t="n">
        <v>0.00465</v>
      </c>
      <c r="H214" s="34" t="inlineStr">
        <is>
          <t>280-21XXXX</t>
        </is>
      </c>
      <c r="I214" s="24" t="inlineStr">
        <is>
          <t>PENDIENTE: administración no tiene matrícula; residente debe digitar manualmente</t>
        </is>
      </c>
    </row>
    <row r="215">
      <c r="B215" s="25" t="inlineStr">
        <is>
          <t>Bloque 2</t>
        </is>
      </c>
      <c r="C215" s="26" t="n">
        <v>2102</v>
      </c>
      <c r="D215" s="25" t="n">
        <v>10</v>
      </c>
      <c r="E215" s="27" t="n">
        <v>46</v>
      </c>
      <c r="F215" s="28" t="n">
        <v>0.006747</v>
      </c>
      <c r="G215" s="28" t="n">
        <v>0.00365</v>
      </c>
      <c r="H215" s="34" t="inlineStr">
        <is>
          <t>280-21XXXX</t>
        </is>
      </c>
      <c r="I215" s="26" t="inlineStr">
        <is>
          <t>PENDIENTE: administración no tiene matrícula; residente debe digitar manualmente</t>
        </is>
      </c>
    </row>
    <row r="216">
      <c r="B216" s="5" t="inlineStr">
        <is>
          <t>Bloque 2</t>
        </is>
      </c>
      <c r="C216" s="21" t="n">
        <v>2103</v>
      </c>
      <c r="D216" s="5" t="n">
        <v>10</v>
      </c>
      <c r="E216" s="22" t="n">
        <v>46</v>
      </c>
      <c r="F216" s="14" t="n">
        <v>0.006747</v>
      </c>
      <c r="G216" s="14" t="n">
        <v>0.00365</v>
      </c>
      <c r="H216" s="34" t="inlineStr">
        <is>
          <t>280-21XXXX</t>
        </is>
      </c>
      <c r="I216" s="24" t="inlineStr">
        <is>
          <t>PENDIENTE: administración no tiene matrícula; residente debe digitar manualmente</t>
        </is>
      </c>
    </row>
    <row r="217">
      <c r="B217" s="25" t="inlineStr">
        <is>
          <t>Bloque 2</t>
        </is>
      </c>
      <c r="C217" s="26" t="n">
        <v>2104</v>
      </c>
      <c r="D217" s="25" t="n">
        <v>10</v>
      </c>
      <c r="E217" s="27" t="n">
        <v>58.52</v>
      </c>
      <c r="F217" s="28" t="n">
        <v>0.008584000000000001</v>
      </c>
      <c r="G217" s="28" t="n">
        <v>0.00465</v>
      </c>
      <c r="H217" s="34" t="inlineStr">
        <is>
          <t>280-21XXXX</t>
        </is>
      </c>
      <c r="I217" s="26" t="inlineStr">
        <is>
          <t>PENDIENTE: administración no tiene matrícula; residente debe digitar manualmente</t>
        </is>
      </c>
    </row>
    <row r="218">
      <c r="B218" s="5" t="inlineStr">
        <is>
          <t>Bloque 2</t>
        </is>
      </c>
      <c r="C218" s="21" t="n">
        <v>2111</v>
      </c>
      <c r="D218" s="5" t="n">
        <v>11</v>
      </c>
      <c r="E218" s="22" t="n">
        <v>58.52</v>
      </c>
      <c r="F218" s="14" t="n">
        <v>0.008584000000000001</v>
      </c>
      <c r="G218" s="14" t="n">
        <v>0.00465</v>
      </c>
      <c r="H218" s="34" t="inlineStr">
        <is>
          <t>280-21XXXX</t>
        </is>
      </c>
      <c r="I218" s="24" t="inlineStr">
        <is>
          <t>PENDIENTE: administración no tiene matrícula; residente debe digitar manualmente</t>
        </is>
      </c>
    </row>
    <row r="219">
      <c r="B219" s="25" t="inlineStr">
        <is>
          <t>Bloque 2</t>
        </is>
      </c>
      <c r="C219" s="26" t="n">
        <v>2112</v>
      </c>
      <c r="D219" s="25" t="n">
        <v>11</v>
      </c>
      <c r="E219" s="27" t="n">
        <v>46</v>
      </c>
      <c r="F219" s="28" t="n">
        <v>0.006747</v>
      </c>
      <c r="G219" s="28" t="n">
        <v>0.00365</v>
      </c>
      <c r="H219" s="34" t="inlineStr">
        <is>
          <t>280-21XXXX</t>
        </is>
      </c>
      <c r="I219" s="26" t="inlineStr">
        <is>
          <t>PENDIENTE: administración no tiene matrícula; residente debe digitar manualmente</t>
        </is>
      </c>
    </row>
    <row r="220">
      <c r="B220" s="5" t="inlineStr">
        <is>
          <t>Bloque 2</t>
        </is>
      </c>
      <c r="C220" s="21" t="n">
        <v>2113</v>
      </c>
      <c r="D220" s="5" t="n">
        <v>11</v>
      </c>
      <c r="E220" s="22" t="n">
        <v>46</v>
      </c>
      <c r="F220" s="14" t="n">
        <v>0.006747</v>
      </c>
      <c r="G220" s="14" t="n">
        <v>0.00365</v>
      </c>
      <c r="H220" s="34" t="inlineStr">
        <is>
          <t>280-21XXXX</t>
        </is>
      </c>
      <c r="I220" s="24" t="inlineStr">
        <is>
          <t>PENDIENTE: administración no tiene matrícula; residente debe digitar manualmente</t>
        </is>
      </c>
    </row>
    <row r="221">
      <c r="B221" s="25" t="inlineStr">
        <is>
          <t>Bloque 2</t>
        </is>
      </c>
      <c r="C221" s="26" t="n">
        <v>2114</v>
      </c>
      <c r="D221" s="25" t="n">
        <v>11</v>
      </c>
      <c r="E221" s="27" t="n">
        <v>58.52</v>
      </c>
      <c r="F221" s="28" t="n">
        <v>0.008584000000000001</v>
      </c>
      <c r="G221" s="28" t="n">
        <v>0.00465</v>
      </c>
      <c r="H221" s="34" t="inlineStr">
        <is>
          <t>280-21XXXX</t>
        </is>
      </c>
      <c r="I221" s="26" t="inlineStr">
        <is>
          <t>PENDIENTE: administración no tiene matrícula; residente debe digitar manualmente</t>
        </is>
      </c>
    </row>
    <row r="222">
      <c r="B222" s="5" t="inlineStr">
        <is>
          <t>Bloque 2</t>
        </is>
      </c>
      <c r="C222" s="21" t="n">
        <v>2121</v>
      </c>
      <c r="D222" s="5" t="n">
        <v>12</v>
      </c>
      <c r="E222" s="22" t="n">
        <v>58.52</v>
      </c>
      <c r="F222" s="14" t="n">
        <v>0.008584000000000001</v>
      </c>
      <c r="G222" s="14" t="n">
        <v>0.00465</v>
      </c>
      <c r="H222" s="34" t="inlineStr">
        <is>
          <t>280-21XXXX</t>
        </is>
      </c>
      <c r="I222" s="24" t="inlineStr">
        <is>
          <t>PENDIENTE: administración no tiene matrícula; residente debe digitar manualmente</t>
        </is>
      </c>
    </row>
    <row r="223">
      <c r="B223" s="25" t="inlineStr">
        <is>
          <t>Bloque 2</t>
        </is>
      </c>
      <c r="C223" s="26" t="n">
        <v>2122</v>
      </c>
      <c r="D223" s="25" t="n">
        <v>12</v>
      </c>
      <c r="E223" s="27" t="n">
        <v>46</v>
      </c>
      <c r="F223" s="28" t="n">
        <v>0.006747</v>
      </c>
      <c r="G223" s="28" t="n">
        <v>0.00365</v>
      </c>
      <c r="H223" s="34" t="inlineStr">
        <is>
          <t>280-21XXXX</t>
        </is>
      </c>
      <c r="I223" s="26" t="inlineStr">
        <is>
          <t>PENDIENTE: administración no tiene matrícula; residente debe digitar manualmente</t>
        </is>
      </c>
    </row>
    <row r="224">
      <c r="B224" s="5" t="inlineStr">
        <is>
          <t>Bloque 2</t>
        </is>
      </c>
      <c r="C224" s="21" t="n">
        <v>2123</v>
      </c>
      <c r="D224" s="5" t="n">
        <v>12</v>
      </c>
      <c r="E224" s="22" t="n">
        <v>46</v>
      </c>
      <c r="F224" s="14" t="n">
        <v>0.006747</v>
      </c>
      <c r="G224" s="14" t="n">
        <v>0.00365</v>
      </c>
      <c r="H224" s="34" t="inlineStr">
        <is>
          <t>280-21XXXX</t>
        </is>
      </c>
      <c r="I224" s="24" t="inlineStr">
        <is>
          <t>PENDIENTE: administración no tiene matrícula; residente debe digitar manualmente</t>
        </is>
      </c>
    </row>
    <row r="225">
      <c r="B225" s="25" t="inlineStr">
        <is>
          <t>Bloque 2</t>
        </is>
      </c>
      <c r="C225" s="26" t="n">
        <v>2124</v>
      </c>
      <c r="D225" s="25" t="n">
        <v>12</v>
      </c>
      <c r="E225" s="27" t="n">
        <v>58.52</v>
      </c>
      <c r="F225" s="28" t="n">
        <v>0.008584000000000001</v>
      </c>
      <c r="G225" s="28" t="n">
        <v>0.00465</v>
      </c>
      <c r="H225" s="34" t="inlineStr">
        <is>
          <t>280-21XXXX</t>
        </is>
      </c>
      <c r="I225" s="26" t="inlineStr">
        <is>
          <t>PENDIENTE: administración no tiene matrícula; residente debe digitar manualmente</t>
        </is>
      </c>
    </row>
    <row r="226">
      <c r="B226" s="5" t="inlineStr">
        <is>
          <t>Bloque 2</t>
        </is>
      </c>
      <c r="C226" s="21" t="n">
        <v>2131</v>
      </c>
      <c r="D226" s="5" t="n">
        <v>13</v>
      </c>
      <c r="E226" s="22" t="n">
        <v>58.52</v>
      </c>
      <c r="F226" s="14" t="n">
        <v>0.008584000000000001</v>
      </c>
      <c r="G226" s="14" t="n">
        <v>0.00465</v>
      </c>
      <c r="H226" s="34" t="inlineStr">
        <is>
          <t>280-21XXXX</t>
        </is>
      </c>
      <c r="I226" s="24" t="inlineStr">
        <is>
          <t>PENDIENTE: administración no tiene matrícula; residente debe digitar manualmente</t>
        </is>
      </c>
    </row>
    <row r="227">
      <c r="B227" s="25" t="inlineStr">
        <is>
          <t>Bloque 2</t>
        </is>
      </c>
      <c r="C227" s="26" t="n">
        <v>2132</v>
      </c>
      <c r="D227" s="25" t="n">
        <v>13</v>
      </c>
      <c r="E227" s="27" t="n">
        <v>46</v>
      </c>
      <c r="F227" s="28" t="n">
        <v>0.006747</v>
      </c>
      <c r="G227" s="28" t="n">
        <v>0.00365</v>
      </c>
      <c r="H227" s="34" t="inlineStr">
        <is>
          <t>280-21XXXX</t>
        </is>
      </c>
      <c r="I227" s="26" t="inlineStr">
        <is>
          <t>PENDIENTE: administración no tiene matrícula; residente debe digitar manualmente</t>
        </is>
      </c>
    </row>
    <row r="228">
      <c r="B228" s="5" t="inlineStr">
        <is>
          <t>Bloque 2</t>
        </is>
      </c>
      <c r="C228" s="21" t="n">
        <v>2133</v>
      </c>
      <c r="D228" s="5" t="n">
        <v>13</v>
      </c>
      <c r="E228" s="22" t="n">
        <v>46</v>
      </c>
      <c r="F228" s="14" t="n">
        <v>0.006747</v>
      </c>
      <c r="G228" s="14" t="n">
        <v>0.00365</v>
      </c>
      <c r="H228" s="34" t="inlineStr">
        <is>
          <t>280-21XXXX</t>
        </is>
      </c>
      <c r="I228" s="24" t="inlineStr">
        <is>
          <t>PENDIENTE: administración no tiene matrícula; residente debe digitar manualmente</t>
        </is>
      </c>
    </row>
    <row r="229">
      <c r="B229" s="25" t="inlineStr">
        <is>
          <t>Bloque 2</t>
        </is>
      </c>
      <c r="C229" s="26" t="n">
        <v>2134</v>
      </c>
      <c r="D229" s="25" t="n">
        <v>13</v>
      </c>
      <c r="E229" s="27" t="n">
        <v>58.52</v>
      </c>
      <c r="F229" s="28" t="n">
        <v>0.008584000000000001</v>
      </c>
      <c r="G229" s="28" t="n">
        <v>0.00465</v>
      </c>
      <c r="H229" s="34" t="inlineStr">
        <is>
          <t>280-21XXXX</t>
        </is>
      </c>
      <c r="I229" s="26" t="inlineStr">
        <is>
          <t>PENDIENTE: administración no tiene matrícula; residente debe digitar manualmente</t>
        </is>
      </c>
    </row>
    <row r="230">
      <c r="B230" s="5" t="inlineStr">
        <is>
          <t>Bloque 2</t>
        </is>
      </c>
      <c r="C230" s="21" t="n">
        <v>2141</v>
      </c>
      <c r="D230" s="5" t="n">
        <v>14</v>
      </c>
      <c r="E230" s="22" t="n">
        <v>58.52</v>
      </c>
      <c r="F230" s="14" t="n">
        <v>0.008584000000000001</v>
      </c>
      <c r="G230" s="14" t="n">
        <v>0.00465</v>
      </c>
      <c r="H230" s="34" t="inlineStr">
        <is>
          <t>280-21XXXX</t>
        </is>
      </c>
      <c r="I230" s="24" t="inlineStr">
        <is>
          <t>PENDIENTE: administración no tiene matrícula; residente debe digitar manualmente</t>
        </is>
      </c>
    </row>
    <row r="231">
      <c r="B231" s="25" t="inlineStr">
        <is>
          <t>Bloque 2</t>
        </is>
      </c>
      <c r="C231" s="26" t="n">
        <v>2142</v>
      </c>
      <c r="D231" s="25" t="n">
        <v>14</v>
      </c>
      <c r="E231" s="27" t="n">
        <v>46</v>
      </c>
      <c r="F231" s="28" t="n">
        <v>0.006747</v>
      </c>
      <c r="G231" s="28" t="n">
        <v>0.00365</v>
      </c>
      <c r="H231" s="34" t="inlineStr">
        <is>
          <t>280-21XXXX</t>
        </is>
      </c>
      <c r="I231" s="26" t="inlineStr">
        <is>
          <t>PENDIENTE: administración no tiene matrícula; residente debe digitar manualmente</t>
        </is>
      </c>
    </row>
    <row r="232">
      <c r="B232" s="5" t="inlineStr">
        <is>
          <t>Bloque 2</t>
        </is>
      </c>
      <c r="C232" s="21" t="n">
        <v>2143</v>
      </c>
      <c r="D232" s="5" t="n">
        <v>14</v>
      </c>
      <c r="E232" s="22" t="n">
        <v>46</v>
      </c>
      <c r="F232" s="14" t="n">
        <v>0.006747</v>
      </c>
      <c r="G232" s="14" t="n">
        <v>0.00365</v>
      </c>
      <c r="H232" s="34" t="inlineStr">
        <is>
          <t>280-21XXXX</t>
        </is>
      </c>
      <c r="I232" s="24" t="inlineStr">
        <is>
          <t>PENDIENTE: administración no tiene matrícula; residente debe digitar manualmente</t>
        </is>
      </c>
    </row>
    <row r="233">
      <c r="B233" s="25" t="inlineStr">
        <is>
          <t>Bloque 2</t>
        </is>
      </c>
      <c r="C233" s="26" t="n">
        <v>2144</v>
      </c>
      <c r="D233" s="25" t="n">
        <v>14</v>
      </c>
      <c r="E233" s="27" t="n">
        <v>58.52</v>
      </c>
      <c r="F233" s="28" t="n">
        <v>0.008584000000000001</v>
      </c>
      <c r="G233" s="28" t="n">
        <v>0.00465</v>
      </c>
      <c r="H233" s="34" t="inlineStr">
        <is>
          <t>280-21XXXX</t>
        </is>
      </c>
      <c r="I233" s="26" t="inlineStr">
        <is>
          <t>PENDIENTE: administración no tiene matrícula; residente debe digitar manualmente</t>
        </is>
      </c>
    </row>
    <row r="234">
      <c r="B234" s="16" t="inlineStr">
        <is>
          <t>TOTAL APARTAMENTOS (228)</t>
        </is>
      </c>
      <c r="C234" s="29" t="inlineStr"/>
      <c r="D234" s="29" t="inlineStr"/>
      <c r="E234" s="30">
        <f>SUM(E6:E233)</f>
        <v/>
      </c>
      <c r="F234" s="31">
        <f>SUM(F6:F233)</f>
        <v/>
      </c>
      <c r="G234" s="31">
        <f>SUM(G6:G233)</f>
        <v/>
      </c>
      <c r="H234" s="29" t="inlineStr"/>
      <c r="I234" s="32">
        <f>COUNTIF(I6:I233, "CONFIRMADO") &amp; " de 228"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40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9" customWidth="1" min="3" max="3"/>
    <col width="34" customWidth="1" min="4" max="4"/>
    <col width="21" customWidth="1" min="5" max="5"/>
    <col width="21" customWidth="1" min="6" max="6"/>
    <col width="25" customWidth="1" min="7" max="7"/>
    <col width="41" customWidth="1" min="8" max="8"/>
    <col width="82" customWidth="1" min="9" max="9"/>
  </cols>
  <sheetData>
    <row r="2">
      <c r="B2" s="1" t="inlineStr">
        <is>
          <t>BASE DE DATOS DE PARQUEADEROS Y REGISTRO DE MATRÍCULAS</t>
        </is>
      </c>
    </row>
    <row r="3">
      <c r="B3" s="3" t="inlineStr">
        <is>
          <t>Nota: Incluye parqueaderos de carros (Sótano 1 y 2) y de motos (Fases 1 y 2).</t>
        </is>
      </c>
    </row>
    <row r="5">
      <c r="B5" s="20" t="inlineStr">
        <is>
          <t>Tipo</t>
        </is>
      </c>
      <c r="C5" s="20" t="inlineStr">
        <is>
          <t>Nro Parqueadero</t>
        </is>
      </c>
      <c r="D5" s="20" t="inlineStr">
        <is>
          <t>Ubicación</t>
        </is>
      </c>
      <c r="E5" s="20" t="inlineStr">
        <is>
          <t>Área Privada (m2)</t>
        </is>
      </c>
      <c r="F5" s="20" t="inlineStr">
        <is>
          <t>Coeficiente Prov.</t>
        </is>
      </c>
      <c r="G5" s="20" t="inlineStr">
        <is>
          <t>Coeficiente Integrado</t>
        </is>
      </c>
      <c r="H5" s="20" t="inlineStr">
        <is>
          <t>Matrícula Inmobiliaria (Digitar aquí)</t>
        </is>
      </c>
      <c r="I5" s="20" t="inlineStr">
        <is>
          <t>Estado del Folio</t>
        </is>
      </c>
    </row>
    <row r="6">
      <c r="B6" s="6" t="inlineStr">
        <is>
          <t>Carro Sótano 2</t>
        </is>
      </c>
      <c r="C6" s="21" t="inlineStr">
        <is>
          <t>Carro 1</t>
        </is>
      </c>
      <c r="D6" s="6" t="inlineStr">
        <is>
          <t>Sótano 2</t>
        </is>
      </c>
      <c r="E6" s="22" t="n">
        <v>9.9</v>
      </c>
      <c r="F6" s="14" t="n">
        <v>0.001452</v>
      </c>
      <c r="G6" s="14" t="n">
        <v>0.00079</v>
      </c>
      <c r="H6" s="23" t="inlineStr">
        <is>
          <t>280-214947</t>
        </is>
      </c>
      <c r="I6" s="24">
        <f>IF(H6="","PENDIENTE",IF(LEFT(H6,10)="280-21XXXX","REVISAR","CONFIRMADO"))</f>
        <v/>
      </c>
    </row>
    <row r="7">
      <c r="B7" s="33" t="inlineStr">
        <is>
          <t>Carro Sótano 2</t>
        </is>
      </c>
      <c r="C7" s="26" t="inlineStr">
        <is>
          <t>Carro 2</t>
        </is>
      </c>
      <c r="D7" s="33" t="inlineStr">
        <is>
          <t>Sótano 2</t>
        </is>
      </c>
      <c r="E7" s="27" t="n">
        <v>9.9</v>
      </c>
      <c r="F7" s="28" t="n">
        <v>0.001452</v>
      </c>
      <c r="G7" s="28" t="n">
        <v>0.00079</v>
      </c>
      <c r="H7" s="23" t="inlineStr">
        <is>
          <t>280-214948</t>
        </is>
      </c>
      <c r="I7" s="26">
        <f>IF(H7="","PENDIENTE",IF(LEFT(H7,10)="280-21XXXX","REVISAR","CONFIRMADO"))</f>
        <v/>
      </c>
    </row>
    <row r="8">
      <c r="B8" s="6" t="inlineStr">
        <is>
          <t>Carro Sótano 2</t>
        </is>
      </c>
      <c r="C8" s="21" t="inlineStr">
        <is>
          <t>Carro 3</t>
        </is>
      </c>
      <c r="D8" s="6" t="inlineStr">
        <is>
          <t>Sótano 2</t>
        </is>
      </c>
      <c r="E8" s="22" t="n">
        <v>9.9</v>
      </c>
      <c r="F8" s="14" t="n">
        <v>0.001452</v>
      </c>
      <c r="G8" s="14" t="n">
        <v>0.00079</v>
      </c>
      <c r="H8" s="23" t="inlineStr">
        <is>
          <t>280-214949</t>
        </is>
      </c>
      <c r="I8" s="24">
        <f>IF(H8="","PENDIENTE",IF(LEFT(H8,10)="280-21XXXX","REVISAR","CONFIRMADO"))</f>
        <v/>
      </c>
    </row>
    <row r="9">
      <c r="B9" s="33" t="inlineStr">
        <is>
          <t>Carro Sótano 2</t>
        </is>
      </c>
      <c r="C9" s="26" t="inlineStr">
        <is>
          <t>Carro 4</t>
        </is>
      </c>
      <c r="D9" s="33" t="inlineStr">
        <is>
          <t>Sótano 2</t>
        </is>
      </c>
      <c r="E9" s="27" t="n">
        <v>9.9</v>
      </c>
      <c r="F9" s="28" t="n">
        <v>0.001452</v>
      </c>
      <c r="G9" s="28" t="n">
        <v>0.00079</v>
      </c>
      <c r="H9" s="23" t="inlineStr">
        <is>
          <t>280-214950</t>
        </is>
      </c>
      <c r="I9" s="26">
        <f>IF(H9="","PENDIENTE",IF(LEFT(H9,10)="280-21XXXX","REVISAR","CONFIRMADO"))</f>
        <v/>
      </c>
    </row>
    <row r="10">
      <c r="B10" s="6" t="inlineStr">
        <is>
          <t>Carro Sótano 2</t>
        </is>
      </c>
      <c r="C10" s="21" t="inlineStr">
        <is>
          <t>Carro 5</t>
        </is>
      </c>
      <c r="D10" s="6" t="inlineStr">
        <is>
          <t>Sótano 2</t>
        </is>
      </c>
      <c r="E10" s="22" t="n">
        <v>9.9</v>
      </c>
      <c r="F10" s="14" t="n">
        <v>0.001452</v>
      </c>
      <c r="G10" s="14" t="n">
        <v>0.00079</v>
      </c>
      <c r="H10" s="23" t="inlineStr">
        <is>
          <t>280-214951</t>
        </is>
      </c>
      <c r="I10" s="24">
        <f>IF(H10="","PENDIENTE",IF(LEFT(H10,10)="280-21XXXX","REVISAR","CONFIRMADO"))</f>
        <v/>
      </c>
    </row>
    <row r="11">
      <c r="B11" s="33" t="inlineStr">
        <is>
          <t>Carro Sótano 2</t>
        </is>
      </c>
      <c r="C11" s="26" t="inlineStr">
        <is>
          <t>Carro 6</t>
        </is>
      </c>
      <c r="D11" s="33" t="inlineStr">
        <is>
          <t>Sótano 2</t>
        </is>
      </c>
      <c r="E11" s="27" t="n">
        <v>9.9</v>
      </c>
      <c r="F11" s="28" t="n">
        <v>0.001452</v>
      </c>
      <c r="G11" s="28" t="n">
        <v>0.00079</v>
      </c>
      <c r="H11" s="23" t="inlineStr">
        <is>
          <t>280-214952</t>
        </is>
      </c>
      <c r="I11" s="26">
        <f>IF(H11="","PENDIENTE",IF(LEFT(H11,10)="280-21XXXX","REVISAR","CONFIRMADO"))</f>
        <v/>
      </c>
    </row>
    <row r="12">
      <c r="B12" s="6" t="inlineStr">
        <is>
          <t>Carro Sótano 2</t>
        </is>
      </c>
      <c r="C12" s="21" t="inlineStr">
        <is>
          <t>Carro 7</t>
        </is>
      </c>
      <c r="D12" s="6" t="inlineStr">
        <is>
          <t>Sótano 2</t>
        </is>
      </c>
      <c r="E12" s="22" t="n">
        <v>9.9</v>
      </c>
      <c r="F12" s="14" t="n">
        <v>0.001452</v>
      </c>
      <c r="G12" s="14" t="n">
        <v>0.00079</v>
      </c>
      <c r="H12" s="23" t="inlineStr">
        <is>
          <t>280-214953</t>
        </is>
      </c>
      <c r="I12" s="24">
        <f>IF(H12="","PENDIENTE",IF(LEFT(H12,10)="280-21XXXX","REVISAR","CONFIRMADO"))</f>
        <v/>
      </c>
    </row>
    <row r="13">
      <c r="B13" s="33" t="inlineStr">
        <is>
          <t>Carro Sótano 2</t>
        </is>
      </c>
      <c r="C13" s="26" t="inlineStr">
        <is>
          <t>Carro 8</t>
        </is>
      </c>
      <c r="D13" s="33" t="inlineStr">
        <is>
          <t>Sótano 2</t>
        </is>
      </c>
      <c r="E13" s="27" t="n">
        <v>9.9</v>
      </c>
      <c r="F13" s="28" t="n">
        <v>0.001452</v>
      </c>
      <c r="G13" s="28" t="n">
        <v>0.00079</v>
      </c>
      <c r="H13" s="23" t="inlineStr">
        <is>
          <t>280-214954</t>
        </is>
      </c>
      <c r="I13" s="26">
        <f>IF(H13="","PENDIENTE",IF(LEFT(H13,10)="280-21XXXX","REVISAR","CONFIRMADO"))</f>
        <v/>
      </c>
    </row>
    <row r="14">
      <c r="B14" s="6" t="inlineStr">
        <is>
          <t>Carro Sótano 2</t>
        </is>
      </c>
      <c r="C14" s="21" t="inlineStr">
        <is>
          <t>Carro 9</t>
        </is>
      </c>
      <c r="D14" s="6" t="inlineStr">
        <is>
          <t>Sótano 2</t>
        </is>
      </c>
      <c r="E14" s="22" t="n">
        <v>9.9</v>
      </c>
      <c r="F14" s="14" t="n">
        <v>0.001452</v>
      </c>
      <c r="G14" s="14" t="n">
        <v>0.00079</v>
      </c>
      <c r="H14" s="23" t="inlineStr">
        <is>
          <t>280-214955</t>
        </is>
      </c>
      <c r="I14" s="24">
        <f>IF(H14="","PENDIENTE",IF(LEFT(H14,10)="280-21XXXX","REVISAR","CONFIRMADO"))</f>
        <v/>
      </c>
    </row>
    <row r="15">
      <c r="B15" s="33" t="inlineStr">
        <is>
          <t>Carro Sótano 2</t>
        </is>
      </c>
      <c r="C15" s="26" t="inlineStr">
        <is>
          <t>Carro 10</t>
        </is>
      </c>
      <c r="D15" s="33" t="inlineStr">
        <is>
          <t>Sótano 2</t>
        </is>
      </c>
      <c r="E15" s="27" t="n">
        <v>9.9</v>
      </c>
      <c r="F15" s="28" t="n">
        <v>0.001452</v>
      </c>
      <c r="G15" s="28" t="n">
        <v>0.00079</v>
      </c>
      <c r="H15" s="23" t="inlineStr">
        <is>
          <t>280-214956</t>
        </is>
      </c>
      <c r="I15" s="26">
        <f>IF(H15="","PENDIENTE",IF(LEFT(H15,10)="280-21XXXX","REVISAR","CONFIRMADO"))</f>
        <v/>
      </c>
    </row>
    <row r="16">
      <c r="B16" s="6" t="inlineStr">
        <is>
          <t>Carro Sótano 2</t>
        </is>
      </c>
      <c r="C16" s="21" t="inlineStr">
        <is>
          <t>Carro 11</t>
        </is>
      </c>
      <c r="D16" s="6" t="inlineStr">
        <is>
          <t>Sótano 2</t>
        </is>
      </c>
      <c r="E16" s="22" t="n">
        <v>9.9</v>
      </c>
      <c r="F16" s="14" t="n">
        <v>0.001452</v>
      </c>
      <c r="G16" s="14" t="n">
        <v>0.00079</v>
      </c>
      <c r="H16" s="23" t="inlineStr">
        <is>
          <t>280-214957</t>
        </is>
      </c>
      <c r="I16" s="24">
        <f>IF(H16="","PENDIENTE",IF(LEFT(H16,10)="280-21XXXX","REVISAR","CONFIRMADO"))</f>
        <v/>
      </c>
    </row>
    <row r="17">
      <c r="B17" s="33" t="inlineStr">
        <is>
          <t>Carro Sótano 2</t>
        </is>
      </c>
      <c r="C17" s="26" t="inlineStr">
        <is>
          <t>Carro 12</t>
        </is>
      </c>
      <c r="D17" s="33" t="inlineStr">
        <is>
          <t>Sótano 2</t>
        </is>
      </c>
      <c r="E17" s="27" t="n">
        <v>9.9</v>
      </c>
      <c r="F17" s="28" t="n">
        <v>0.001452</v>
      </c>
      <c r="G17" s="28" t="n">
        <v>0.00079</v>
      </c>
      <c r="H17" s="23" t="inlineStr">
        <is>
          <t>280-214958</t>
        </is>
      </c>
      <c r="I17" s="26">
        <f>IF(H17="","PENDIENTE",IF(LEFT(H17,10)="280-21XXXX","REVISAR","CONFIRMADO"))</f>
        <v/>
      </c>
    </row>
    <row r="18">
      <c r="B18" s="6" t="inlineStr">
        <is>
          <t>Carro Sótano 2</t>
        </is>
      </c>
      <c r="C18" s="21" t="inlineStr">
        <is>
          <t>Carro 13</t>
        </is>
      </c>
      <c r="D18" s="6" t="inlineStr">
        <is>
          <t>Sótano 2</t>
        </is>
      </c>
      <c r="E18" s="22" t="n">
        <v>9.9</v>
      </c>
      <c r="F18" s="14" t="n">
        <v>0.001452</v>
      </c>
      <c r="G18" s="14" t="n">
        <v>0.00079</v>
      </c>
      <c r="H18" s="23" t="inlineStr">
        <is>
          <t>280-214959</t>
        </is>
      </c>
      <c r="I18" s="24">
        <f>IF(H18="","PENDIENTE",IF(LEFT(H18,10)="280-21XXXX","REVISAR","CONFIRMADO"))</f>
        <v/>
      </c>
    </row>
    <row r="19">
      <c r="B19" s="33" t="inlineStr">
        <is>
          <t>Carro Sótano 2</t>
        </is>
      </c>
      <c r="C19" s="26" t="inlineStr">
        <is>
          <t>Carro 14</t>
        </is>
      </c>
      <c r="D19" s="33" t="inlineStr">
        <is>
          <t>Sótano 2</t>
        </is>
      </c>
      <c r="E19" s="27" t="n">
        <v>9.9</v>
      </c>
      <c r="F19" s="28" t="n">
        <v>0.001452</v>
      </c>
      <c r="G19" s="28" t="n">
        <v>0.00079</v>
      </c>
      <c r="H19" s="23" t="inlineStr">
        <is>
          <t>280-214960</t>
        </is>
      </c>
      <c r="I19" s="26">
        <f>IF(H19="","PENDIENTE",IF(LEFT(H19,10)="280-21XXXX","REVISAR","CONFIRMADO"))</f>
        <v/>
      </c>
    </row>
    <row r="20">
      <c r="B20" s="6" t="inlineStr">
        <is>
          <t>Carro Sótano 2</t>
        </is>
      </c>
      <c r="C20" s="21" t="inlineStr">
        <is>
          <t>Carro 15</t>
        </is>
      </c>
      <c r="D20" s="6" t="inlineStr">
        <is>
          <t>Sótano 2</t>
        </is>
      </c>
      <c r="E20" s="22" t="n">
        <v>9.9</v>
      </c>
      <c r="F20" s="14" t="n">
        <v>0.001452</v>
      </c>
      <c r="G20" s="14" t="n">
        <v>0.00079</v>
      </c>
      <c r="H20" s="23" t="inlineStr">
        <is>
          <t>280-214961</t>
        </is>
      </c>
      <c r="I20" s="24">
        <f>IF(H20="","PENDIENTE",IF(LEFT(H20,10)="280-21XXXX","REVISAR","CONFIRMADO"))</f>
        <v/>
      </c>
    </row>
    <row r="21">
      <c r="B21" s="33" t="inlineStr">
        <is>
          <t>Carro Sótano 2</t>
        </is>
      </c>
      <c r="C21" s="26" t="inlineStr">
        <is>
          <t>Carro 16</t>
        </is>
      </c>
      <c r="D21" s="33" t="inlineStr">
        <is>
          <t>Sótano 2</t>
        </is>
      </c>
      <c r="E21" s="27" t="n">
        <v>9.9</v>
      </c>
      <c r="F21" s="28" t="n">
        <v>0.001452</v>
      </c>
      <c r="G21" s="28" t="n">
        <v>0.00079</v>
      </c>
      <c r="H21" s="23" t="inlineStr">
        <is>
          <t>280-214962</t>
        </is>
      </c>
      <c r="I21" s="26">
        <f>IF(H21="","PENDIENTE",IF(LEFT(H21,10)="280-21XXXX","REVISAR","CONFIRMADO"))</f>
        <v/>
      </c>
    </row>
    <row r="22">
      <c r="B22" s="6" t="inlineStr">
        <is>
          <t>Carro Sótano 2</t>
        </is>
      </c>
      <c r="C22" s="21" t="inlineStr">
        <is>
          <t>Carro 17</t>
        </is>
      </c>
      <c r="D22" s="6" t="inlineStr">
        <is>
          <t>Sótano 2</t>
        </is>
      </c>
      <c r="E22" s="22" t="n">
        <v>9.9</v>
      </c>
      <c r="F22" s="14" t="n">
        <v>0.001452</v>
      </c>
      <c r="G22" s="14" t="n">
        <v>0.00079</v>
      </c>
      <c r="H22" s="23" t="inlineStr">
        <is>
          <t>280-214963</t>
        </is>
      </c>
      <c r="I22" s="24">
        <f>IF(H22="","PENDIENTE",IF(LEFT(H22,10)="280-21XXXX","REVISAR","CONFIRMADO"))</f>
        <v/>
      </c>
    </row>
    <row r="23">
      <c r="B23" s="33" t="inlineStr">
        <is>
          <t>Carro Sótano 2</t>
        </is>
      </c>
      <c r="C23" s="26" t="inlineStr">
        <is>
          <t>Carro 18</t>
        </is>
      </c>
      <c r="D23" s="33" t="inlineStr">
        <is>
          <t>Sótano 2</t>
        </is>
      </c>
      <c r="E23" s="27" t="n">
        <v>9.9</v>
      </c>
      <c r="F23" s="28" t="n">
        <v>0.001452</v>
      </c>
      <c r="G23" s="28" t="n">
        <v>0.00079</v>
      </c>
      <c r="H23" s="23" t="inlineStr">
        <is>
          <t>280-214964</t>
        </is>
      </c>
      <c r="I23" s="26">
        <f>IF(H23="","PENDIENTE",IF(LEFT(H23,10)="280-21XXXX","REVISAR","CONFIRMADO"))</f>
        <v/>
      </c>
    </row>
    <row r="24">
      <c r="B24" s="6" t="inlineStr">
        <is>
          <t>Carro Sótano 2</t>
        </is>
      </c>
      <c r="C24" s="21" t="inlineStr">
        <is>
          <t>Carro 19</t>
        </is>
      </c>
      <c r="D24" s="6" t="inlineStr">
        <is>
          <t>Sótano 2</t>
        </is>
      </c>
      <c r="E24" s="22" t="n">
        <v>9.9</v>
      </c>
      <c r="F24" s="14" t="n">
        <v>0.001452</v>
      </c>
      <c r="G24" s="14" t="n">
        <v>0.00079</v>
      </c>
      <c r="H24" s="23" t="inlineStr">
        <is>
          <t>280-214965</t>
        </is>
      </c>
      <c r="I24" s="24">
        <f>IF(H24="","PENDIENTE",IF(LEFT(H24,10)="280-21XXXX","REVISAR","CONFIRMADO"))</f>
        <v/>
      </c>
    </row>
    <row r="25">
      <c r="B25" s="33" t="inlineStr">
        <is>
          <t>Carro Sótano 2</t>
        </is>
      </c>
      <c r="C25" s="26" t="inlineStr">
        <is>
          <t>Carro 20</t>
        </is>
      </c>
      <c r="D25" s="33" t="inlineStr">
        <is>
          <t>Sótano 2</t>
        </is>
      </c>
      <c r="E25" s="27" t="n">
        <v>9.9</v>
      </c>
      <c r="F25" s="28" t="n">
        <v>0.001452</v>
      </c>
      <c r="G25" s="28" t="n">
        <v>0.00079</v>
      </c>
      <c r="H25" s="23" t="inlineStr">
        <is>
          <t>280-214966</t>
        </is>
      </c>
      <c r="I25" s="26">
        <f>IF(H25="","PENDIENTE",IF(LEFT(H25,10)="280-21XXXX","REVISAR","CONFIRMADO"))</f>
        <v/>
      </c>
    </row>
    <row r="26">
      <c r="B26" s="6" t="inlineStr">
        <is>
          <t>Carro Sótano 2</t>
        </is>
      </c>
      <c r="C26" s="21" t="inlineStr">
        <is>
          <t>Carro 21</t>
        </is>
      </c>
      <c r="D26" s="6" t="inlineStr">
        <is>
          <t>Sótano 2</t>
        </is>
      </c>
      <c r="E26" s="22" t="n">
        <v>9.9</v>
      </c>
      <c r="F26" s="14" t="n">
        <v>0.001452</v>
      </c>
      <c r="G26" s="14" t="n">
        <v>0.00079</v>
      </c>
      <c r="H26" s="23" t="inlineStr">
        <is>
          <t>280-214967</t>
        </is>
      </c>
      <c r="I26" s="24">
        <f>IF(H26="","PENDIENTE",IF(LEFT(H26,10)="280-21XXXX","REVISAR","CONFIRMADO"))</f>
        <v/>
      </c>
    </row>
    <row r="27">
      <c r="B27" s="33" t="inlineStr">
        <is>
          <t>Carro Sótano 2</t>
        </is>
      </c>
      <c r="C27" s="26" t="inlineStr">
        <is>
          <t>Carro 22</t>
        </is>
      </c>
      <c r="D27" s="33" t="inlineStr">
        <is>
          <t>Sótano 2</t>
        </is>
      </c>
      <c r="E27" s="27" t="n">
        <v>9.9</v>
      </c>
      <c r="F27" s="28" t="n">
        <v>0.001452</v>
      </c>
      <c r="G27" s="28" t="n">
        <v>0.00079</v>
      </c>
      <c r="H27" s="23" t="inlineStr">
        <is>
          <t>280-214968</t>
        </is>
      </c>
      <c r="I27" s="26">
        <f>IF(H27="","PENDIENTE",IF(LEFT(H27,10)="280-21XXXX","REVISAR","CONFIRMADO"))</f>
        <v/>
      </c>
    </row>
    <row r="28">
      <c r="B28" s="6" t="inlineStr">
        <is>
          <t>Carro Sótano 2</t>
        </is>
      </c>
      <c r="C28" s="21" t="inlineStr">
        <is>
          <t>Carro 23</t>
        </is>
      </c>
      <c r="D28" s="6" t="inlineStr">
        <is>
          <t>Sótano 2</t>
        </is>
      </c>
      <c r="E28" s="22" t="n">
        <v>9.9</v>
      </c>
      <c r="F28" s="14" t="n">
        <v>0.001452</v>
      </c>
      <c r="G28" s="14" t="n">
        <v>0.00079</v>
      </c>
      <c r="H28" s="23" t="inlineStr">
        <is>
          <t>280-214969</t>
        </is>
      </c>
      <c r="I28" s="24">
        <f>IF(H28="","PENDIENTE",IF(LEFT(H28,10)="280-21XXXX","REVISAR","CONFIRMADO"))</f>
        <v/>
      </c>
    </row>
    <row r="29">
      <c r="B29" s="33" t="inlineStr">
        <is>
          <t>Carro Sótano 2</t>
        </is>
      </c>
      <c r="C29" s="26" t="inlineStr">
        <is>
          <t>Carro 24</t>
        </is>
      </c>
      <c r="D29" s="33" t="inlineStr">
        <is>
          <t>Sótano 2</t>
        </is>
      </c>
      <c r="E29" s="27" t="n">
        <v>9.9</v>
      </c>
      <c r="F29" s="28" t="n">
        <v>0.001452</v>
      </c>
      <c r="G29" s="28" t="n">
        <v>0.00079</v>
      </c>
      <c r="H29" s="23" t="inlineStr">
        <is>
          <t>280-214970</t>
        </is>
      </c>
      <c r="I29" s="26">
        <f>IF(H29="","PENDIENTE",IF(LEFT(H29,10)="280-21XXXX","REVISAR","CONFIRMADO"))</f>
        <v/>
      </c>
    </row>
    <row r="30">
      <c r="B30" s="6" t="inlineStr">
        <is>
          <t>Carro Sótano 2</t>
        </is>
      </c>
      <c r="C30" s="21" t="inlineStr">
        <is>
          <t>Carro 25</t>
        </is>
      </c>
      <c r="D30" s="6" t="inlineStr">
        <is>
          <t>Sótano 2</t>
        </is>
      </c>
      <c r="E30" s="22" t="n">
        <v>9.9</v>
      </c>
      <c r="F30" s="14" t="n">
        <v>0.001452</v>
      </c>
      <c r="G30" s="14" t="n">
        <v>0.00079</v>
      </c>
      <c r="H30" s="23" t="inlineStr">
        <is>
          <t>280-214971</t>
        </is>
      </c>
      <c r="I30" s="24">
        <f>IF(H30="","PENDIENTE",IF(LEFT(H30,10)="280-21XXXX","REVISAR","CONFIRMADO"))</f>
        <v/>
      </c>
    </row>
    <row r="31">
      <c r="B31" s="33" t="inlineStr">
        <is>
          <t>Carro Sótano 2</t>
        </is>
      </c>
      <c r="C31" s="26" t="inlineStr">
        <is>
          <t>Carro 26</t>
        </is>
      </c>
      <c r="D31" s="33" t="inlineStr">
        <is>
          <t>Sótano 2</t>
        </is>
      </c>
      <c r="E31" s="27" t="n">
        <v>9.9</v>
      </c>
      <c r="F31" s="28" t="n">
        <v>0.001452</v>
      </c>
      <c r="G31" s="28" t="n">
        <v>0.00079</v>
      </c>
      <c r="H31" s="23" t="inlineStr">
        <is>
          <t>280-214972</t>
        </is>
      </c>
      <c r="I31" s="26">
        <f>IF(H31="","PENDIENTE",IF(LEFT(H31,10)="280-21XXXX","REVISAR","CONFIRMADO"))</f>
        <v/>
      </c>
    </row>
    <row r="32">
      <c r="B32" s="6" t="inlineStr">
        <is>
          <t>Carro Sótano 2</t>
        </is>
      </c>
      <c r="C32" s="21" t="inlineStr">
        <is>
          <t>Carro 27</t>
        </is>
      </c>
      <c r="D32" s="6" t="inlineStr">
        <is>
          <t>Sótano 2</t>
        </is>
      </c>
      <c r="E32" s="22" t="n">
        <v>9.9</v>
      </c>
      <c r="F32" s="14" t="n">
        <v>0.001452</v>
      </c>
      <c r="G32" s="14" t="n">
        <v>0.00079</v>
      </c>
      <c r="H32" s="23" t="inlineStr">
        <is>
          <t>280-214973</t>
        </is>
      </c>
      <c r="I32" s="24">
        <f>IF(H32="","PENDIENTE",IF(LEFT(H32,10)="280-21XXXX","REVISAR","CONFIRMADO"))</f>
        <v/>
      </c>
    </row>
    <row r="33">
      <c r="B33" s="33" t="inlineStr">
        <is>
          <t>Carro Sótano 2</t>
        </is>
      </c>
      <c r="C33" s="26" t="inlineStr">
        <is>
          <t>Carro 28</t>
        </is>
      </c>
      <c r="D33" s="33" t="inlineStr">
        <is>
          <t>Sótano 2</t>
        </is>
      </c>
      <c r="E33" s="27" t="n">
        <v>9.9</v>
      </c>
      <c r="F33" s="28" t="n">
        <v>0.001452</v>
      </c>
      <c r="G33" s="28" t="n">
        <v>0.00079</v>
      </c>
      <c r="H33" s="23" t="inlineStr">
        <is>
          <t>280-214974</t>
        </is>
      </c>
      <c r="I33" s="26">
        <f>IF(H33="","PENDIENTE",IF(LEFT(H33,10)="280-21XXXX","REVISAR","CONFIRMADO"))</f>
        <v/>
      </c>
    </row>
    <row r="34">
      <c r="B34" s="6" t="inlineStr">
        <is>
          <t>Carro Sótano 2</t>
        </is>
      </c>
      <c r="C34" s="21" t="inlineStr">
        <is>
          <t>Carro 29</t>
        </is>
      </c>
      <c r="D34" s="6" t="inlineStr">
        <is>
          <t>Sótano 2</t>
        </is>
      </c>
      <c r="E34" s="22" t="n">
        <v>9.9</v>
      </c>
      <c r="F34" s="14" t="n">
        <v>0.001452</v>
      </c>
      <c r="G34" s="14" t="n">
        <v>0.00079</v>
      </c>
      <c r="H34" s="23" t="inlineStr">
        <is>
          <t>280-214975</t>
        </is>
      </c>
      <c r="I34" s="24">
        <f>IF(H34="","PENDIENTE",IF(LEFT(H34,10)="280-21XXXX","REVISAR","CONFIRMADO"))</f>
        <v/>
      </c>
    </row>
    <row r="35">
      <c r="B35" s="33" t="inlineStr">
        <is>
          <t>Carro Sótano 2</t>
        </is>
      </c>
      <c r="C35" s="26" t="inlineStr">
        <is>
          <t>Carro 30</t>
        </is>
      </c>
      <c r="D35" s="33" t="inlineStr">
        <is>
          <t>Sótano 2</t>
        </is>
      </c>
      <c r="E35" s="27" t="n">
        <v>9.9</v>
      </c>
      <c r="F35" s="28" t="n">
        <v>0.001452</v>
      </c>
      <c r="G35" s="28" t="n">
        <v>0.00079</v>
      </c>
      <c r="H35" s="23" t="inlineStr">
        <is>
          <t>280-214976</t>
        </is>
      </c>
      <c r="I35" s="26">
        <f>IF(H35="","PENDIENTE",IF(LEFT(H35,10)="280-21XXXX","REVISAR","CONFIRMADO"))</f>
        <v/>
      </c>
    </row>
    <row r="36">
      <c r="B36" s="6" t="inlineStr">
        <is>
          <t>Carro Sótano 2</t>
        </is>
      </c>
      <c r="C36" s="21" t="inlineStr">
        <is>
          <t>Carro 31</t>
        </is>
      </c>
      <c r="D36" s="6" t="inlineStr">
        <is>
          <t>Sótano 2</t>
        </is>
      </c>
      <c r="E36" s="22" t="n">
        <v>9.9</v>
      </c>
      <c r="F36" s="14" t="n">
        <v>0.001452</v>
      </c>
      <c r="G36" s="14" t="n">
        <v>0.00079</v>
      </c>
      <c r="H36" s="23" t="inlineStr">
        <is>
          <t>280-214977</t>
        </is>
      </c>
      <c r="I36" s="24">
        <f>IF(H36="","PENDIENTE",IF(LEFT(H36,10)="280-21XXXX","REVISAR","CONFIRMADO"))</f>
        <v/>
      </c>
    </row>
    <row r="37">
      <c r="B37" s="33" t="inlineStr">
        <is>
          <t>Carro Sótano 2</t>
        </is>
      </c>
      <c r="C37" s="26" t="inlineStr">
        <is>
          <t>Carro 32</t>
        </is>
      </c>
      <c r="D37" s="33" t="inlineStr">
        <is>
          <t>Sótano 2</t>
        </is>
      </c>
      <c r="E37" s="27" t="n">
        <v>9.9</v>
      </c>
      <c r="F37" s="28" t="n">
        <v>0.001452</v>
      </c>
      <c r="G37" s="28" t="n">
        <v>0.00079</v>
      </c>
      <c r="H37" s="23" t="inlineStr">
        <is>
          <t>280-214978</t>
        </is>
      </c>
      <c r="I37" s="26">
        <f>IF(H37="","PENDIENTE",IF(LEFT(H37,10)="280-21XXXX","REVISAR","CONFIRMADO"))</f>
        <v/>
      </c>
    </row>
    <row r="38">
      <c r="B38" s="6" t="inlineStr">
        <is>
          <t>Carro Sótano 2</t>
        </is>
      </c>
      <c r="C38" s="21" t="inlineStr">
        <is>
          <t>Carro 33</t>
        </is>
      </c>
      <c r="D38" s="6" t="inlineStr">
        <is>
          <t>Sótano 2</t>
        </is>
      </c>
      <c r="E38" s="22" t="n">
        <v>9.9</v>
      </c>
      <c r="F38" s="14" t="n">
        <v>0.001452</v>
      </c>
      <c r="G38" s="14" t="n">
        <v>0.00079</v>
      </c>
      <c r="H38" s="23" t="inlineStr">
        <is>
          <t>280-214979</t>
        </is>
      </c>
      <c r="I38" s="24">
        <f>IF(H38="","PENDIENTE",IF(LEFT(H38,10)="280-21XXXX","REVISAR","CONFIRMADO"))</f>
        <v/>
      </c>
    </row>
    <row r="39">
      <c r="B39" s="33" t="inlineStr">
        <is>
          <t>Carro Sótano 2</t>
        </is>
      </c>
      <c r="C39" s="26" t="inlineStr">
        <is>
          <t>Carro 34</t>
        </is>
      </c>
      <c r="D39" s="33" t="inlineStr">
        <is>
          <t>Sótano 2</t>
        </is>
      </c>
      <c r="E39" s="27" t="n">
        <v>9.9</v>
      </c>
      <c r="F39" s="28" t="n">
        <v>0.001452</v>
      </c>
      <c r="G39" s="28" t="n">
        <v>0.00079</v>
      </c>
      <c r="H39" s="23" t="inlineStr">
        <is>
          <t>280-214980</t>
        </is>
      </c>
      <c r="I39" s="26">
        <f>IF(H39="","PENDIENTE",IF(LEFT(H39,10)="280-21XXXX","REVISAR","CONFIRMADO"))</f>
        <v/>
      </c>
    </row>
    <row r="40">
      <c r="B40" s="6" t="inlineStr">
        <is>
          <t>Carro Sótano 2</t>
        </is>
      </c>
      <c r="C40" s="21" t="inlineStr">
        <is>
          <t>Carro 35</t>
        </is>
      </c>
      <c r="D40" s="6" t="inlineStr">
        <is>
          <t>Sótano 2</t>
        </is>
      </c>
      <c r="E40" s="22" t="n">
        <v>9.9</v>
      </c>
      <c r="F40" s="14" t="n">
        <v>0.001452</v>
      </c>
      <c r="G40" s="14" t="n">
        <v>0.00079</v>
      </c>
      <c r="H40" s="23" t="inlineStr">
        <is>
          <t>280-214981</t>
        </is>
      </c>
      <c r="I40" s="24">
        <f>IF(H40="","PENDIENTE",IF(LEFT(H40,10)="280-21XXXX","REVISAR","CONFIRMADO"))</f>
        <v/>
      </c>
    </row>
    <row r="41">
      <c r="B41" s="33" t="inlineStr">
        <is>
          <t>Carro Sótano 2</t>
        </is>
      </c>
      <c r="C41" s="26" t="inlineStr">
        <is>
          <t>Carro 36</t>
        </is>
      </c>
      <c r="D41" s="33" t="inlineStr">
        <is>
          <t>Sótano 2</t>
        </is>
      </c>
      <c r="E41" s="27" t="n">
        <v>9.9</v>
      </c>
      <c r="F41" s="28" t="n">
        <v>0.001452</v>
      </c>
      <c r="G41" s="28" t="n">
        <v>0.00079</v>
      </c>
      <c r="H41" s="23" t="inlineStr">
        <is>
          <t>280-214982</t>
        </is>
      </c>
      <c r="I41" s="26">
        <f>IF(H41="","PENDIENTE",IF(LEFT(H41,10)="280-21XXXX","REVISAR","CONFIRMADO"))</f>
        <v/>
      </c>
    </row>
    <row r="42">
      <c r="B42" s="6" t="inlineStr">
        <is>
          <t>Carro Sótano 2</t>
        </is>
      </c>
      <c r="C42" s="21" t="inlineStr">
        <is>
          <t>Carro 37</t>
        </is>
      </c>
      <c r="D42" s="6" t="inlineStr">
        <is>
          <t>Sótano 2</t>
        </is>
      </c>
      <c r="E42" s="22" t="n">
        <v>9.9</v>
      </c>
      <c r="F42" s="14" t="n">
        <v>0.001452</v>
      </c>
      <c r="G42" s="14" t="n">
        <v>0.00079</v>
      </c>
      <c r="H42" s="23" t="inlineStr">
        <is>
          <t>280-214983</t>
        </is>
      </c>
      <c r="I42" s="24">
        <f>IF(H42="","PENDIENTE",IF(LEFT(H42,10)="280-21XXXX","REVISAR","CONFIRMADO"))</f>
        <v/>
      </c>
    </row>
    <row r="43">
      <c r="B43" s="33" t="inlineStr">
        <is>
          <t>Carro Sótano 2</t>
        </is>
      </c>
      <c r="C43" s="26" t="inlineStr">
        <is>
          <t>Carro 38</t>
        </is>
      </c>
      <c r="D43" s="33" t="inlineStr">
        <is>
          <t>Sótano 2</t>
        </is>
      </c>
      <c r="E43" s="27" t="n">
        <v>9.9</v>
      </c>
      <c r="F43" s="28" t="n">
        <v>0.001452</v>
      </c>
      <c r="G43" s="28" t="n">
        <v>0.00079</v>
      </c>
      <c r="H43" s="23" t="inlineStr">
        <is>
          <t>280-214984</t>
        </is>
      </c>
      <c r="I43" s="26">
        <f>IF(H43="","PENDIENTE",IF(LEFT(H43,10)="280-21XXXX","REVISAR","CONFIRMADO"))</f>
        <v/>
      </c>
    </row>
    <row r="44">
      <c r="B44" s="6" t="inlineStr">
        <is>
          <t>Carro Sótano 2</t>
        </is>
      </c>
      <c r="C44" s="21" t="inlineStr">
        <is>
          <t>Carro 39</t>
        </is>
      </c>
      <c r="D44" s="6" t="inlineStr">
        <is>
          <t>Sótano 2</t>
        </is>
      </c>
      <c r="E44" s="22" t="n">
        <v>9.9</v>
      </c>
      <c r="F44" s="14" t="n">
        <v>0.001452</v>
      </c>
      <c r="G44" s="14" t="n">
        <v>0.00079</v>
      </c>
      <c r="H44" s="23" t="inlineStr">
        <is>
          <t>280-214985</t>
        </is>
      </c>
      <c r="I44" s="24">
        <f>IF(H44="","PENDIENTE",IF(LEFT(H44,10)="280-21XXXX","REVISAR","CONFIRMADO"))</f>
        <v/>
      </c>
    </row>
    <row r="45">
      <c r="B45" s="33" t="inlineStr">
        <is>
          <t>Carro Sótano 2</t>
        </is>
      </c>
      <c r="C45" s="26" t="inlineStr">
        <is>
          <t>Carro 40</t>
        </is>
      </c>
      <c r="D45" s="33" t="inlineStr">
        <is>
          <t>Sótano 2</t>
        </is>
      </c>
      <c r="E45" s="27" t="n">
        <v>9.9</v>
      </c>
      <c r="F45" s="28" t="n">
        <v>0.001452</v>
      </c>
      <c r="G45" s="28" t="n">
        <v>0.00079</v>
      </c>
      <c r="H45" s="23" t="inlineStr">
        <is>
          <t>280-214986</t>
        </is>
      </c>
      <c r="I45" s="26">
        <f>IF(H45="","PENDIENTE",IF(LEFT(H45,10)="280-21XXXX","REVISAR","CONFIRMADO"))</f>
        <v/>
      </c>
    </row>
    <row r="46">
      <c r="B46" s="6" t="inlineStr">
        <is>
          <t>Carro Sótano 2</t>
        </is>
      </c>
      <c r="C46" s="21" t="inlineStr">
        <is>
          <t>Carro 41</t>
        </is>
      </c>
      <c r="D46" s="6" t="inlineStr">
        <is>
          <t>Sótano 2</t>
        </is>
      </c>
      <c r="E46" s="22" t="n">
        <v>9.9</v>
      </c>
      <c r="F46" s="14" t="n">
        <v>0.001452</v>
      </c>
      <c r="G46" s="14" t="n">
        <v>0.00079</v>
      </c>
      <c r="H46" s="23" t="inlineStr">
        <is>
          <t>280-214987</t>
        </is>
      </c>
      <c r="I46" s="24">
        <f>IF(H46="","PENDIENTE",IF(LEFT(H46,10)="280-21XXXX","REVISAR","CONFIRMADO"))</f>
        <v/>
      </c>
    </row>
    <row r="47">
      <c r="B47" s="33" t="inlineStr">
        <is>
          <t>Carro Sótano 2</t>
        </is>
      </c>
      <c r="C47" s="26" t="inlineStr">
        <is>
          <t>Carro 42</t>
        </is>
      </c>
      <c r="D47" s="33" t="inlineStr">
        <is>
          <t>Sótano 2</t>
        </is>
      </c>
      <c r="E47" s="27" t="n">
        <v>9.9</v>
      </c>
      <c r="F47" s="28" t="n">
        <v>0.001452</v>
      </c>
      <c r="G47" s="28" t="n">
        <v>0.00079</v>
      </c>
      <c r="H47" s="23" t="inlineStr">
        <is>
          <t>280-214988</t>
        </is>
      </c>
      <c r="I47" s="26">
        <f>IF(H47="","PENDIENTE",IF(LEFT(H47,10)="280-21XXXX","REVISAR","CONFIRMADO"))</f>
        <v/>
      </c>
    </row>
    <row r="48">
      <c r="B48" s="6" t="inlineStr">
        <is>
          <t>Carro Sótano 2</t>
        </is>
      </c>
      <c r="C48" s="21" t="inlineStr">
        <is>
          <t>Carro 43</t>
        </is>
      </c>
      <c r="D48" s="6" t="inlineStr">
        <is>
          <t>Sótano 2</t>
        </is>
      </c>
      <c r="E48" s="22" t="n">
        <v>9.9</v>
      </c>
      <c r="F48" s="14" t="n">
        <v>0.001452</v>
      </c>
      <c r="G48" s="14" t="n">
        <v>0.00079</v>
      </c>
      <c r="H48" s="23" t="inlineStr">
        <is>
          <t>280-214989</t>
        </is>
      </c>
      <c r="I48" s="24">
        <f>IF(H48="","PENDIENTE",IF(LEFT(H48,10)="280-21XXXX","REVISAR","CONFIRMADO"))</f>
        <v/>
      </c>
    </row>
    <row r="49">
      <c r="B49" s="33" t="inlineStr">
        <is>
          <t>Carro Sótano 2</t>
        </is>
      </c>
      <c r="C49" s="26" t="inlineStr">
        <is>
          <t>Carro 52</t>
        </is>
      </c>
      <c r="D49" s="33" t="inlineStr">
        <is>
          <t>Sótano 2</t>
        </is>
      </c>
      <c r="E49" s="27" t="n">
        <v>9.9</v>
      </c>
      <c r="F49" s="28" t="n">
        <v>0.001452</v>
      </c>
      <c r="G49" s="28" t="n">
        <v>0.00079</v>
      </c>
      <c r="H49" s="23" t="inlineStr">
        <is>
          <t>280-214990</t>
        </is>
      </c>
      <c r="I49" s="26">
        <f>IF(H49="","PENDIENTE",IF(LEFT(H49,10)="280-21XXXX","REVISAR","CONFIRMADO"))</f>
        <v/>
      </c>
    </row>
    <row r="50">
      <c r="B50" s="6" t="inlineStr">
        <is>
          <t>Carro Sótano 2</t>
        </is>
      </c>
      <c r="C50" s="21" t="inlineStr">
        <is>
          <t>Carro 53</t>
        </is>
      </c>
      <c r="D50" s="6" t="inlineStr">
        <is>
          <t>Sótano 2</t>
        </is>
      </c>
      <c r="E50" s="22" t="n">
        <v>9.9</v>
      </c>
      <c r="F50" s="14" t="n">
        <v>0.001452</v>
      </c>
      <c r="G50" s="14" t="n">
        <v>0.00079</v>
      </c>
      <c r="H50" s="23" t="inlineStr">
        <is>
          <t>280-214991</t>
        </is>
      </c>
      <c r="I50" s="24">
        <f>IF(H50="","PENDIENTE",IF(LEFT(H50,10)="280-21XXXX","REVISAR","CONFIRMADO"))</f>
        <v/>
      </c>
    </row>
    <row r="51">
      <c r="B51" s="33" t="inlineStr">
        <is>
          <t>Carro Sótano 2</t>
        </is>
      </c>
      <c r="C51" s="26" t="inlineStr">
        <is>
          <t>Carro 54</t>
        </is>
      </c>
      <c r="D51" s="33" t="inlineStr">
        <is>
          <t>Sótano 2</t>
        </is>
      </c>
      <c r="E51" s="27" t="n">
        <v>9.9</v>
      </c>
      <c r="F51" s="28" t="n">
        <v>0.001452</v>
      </c>
      <c r="G51" s="28" t="n">
        <v>0.00079</v>
      </c>
      <c r="H51" s="23" t="inlineStr">
        <is>
          <t>280-214992</t>
        </is>
      </c>
      <c r="I51" s="26">
        <f>IF(H51="","PENDIENTE",IF(LEFT(H51,10)="280-21XXXX","REVISAR","CONFIRMADO"))</f>
        <v/>
      </c>
    </row>
    <row r="52">
      <c r="B52" s="6" t="inlineStr">
        <is>
          <t>Carro Sótano 2</t>
        </is>
      </c>
      <c r="C52" s="21" t="inlineStr">
        <is>
          <t>Carro 55</t>
        </is>
      </c>
      <c r="D52" s="6" t="inlineStr">
        <is>
          <t>Sótano 2</t>
        </is>
      </c>
      <c r="E52" s="22" t="n">
        <v>9.9</v>
      </c>
      <c r="F52" s="14" t="n">
        <v>0.001452</v>
      </c>
      <c r="G52" s="14" t="n">
        <v>0.00079</v>
      </c>
      <c r="H52" s="23" t="inlineStr">
        <is>
          <t>280-214993</t>
        </is>
      </c>
      <c r="I52" s="24">
        <f>IF(H52="","PENDIENTE",IF(LEFT(H52,10)="280-21XXXX","REVISAR","CONFIRMADO"))</f>
        <v/>
      </c>
    </row>
    <row r="53">
      <c r="B53" s="33" t="inlineStr">
        <is>
          <t>Carro Sótano 2</t>
        </is>
      </c>
      <c r="C53" s="26" t="inlineStr">
        <is>
          <t>Carro 56</t>
        </is>
      </c>
      <c r="D53" s="33" t="inlineStr">
        <is>
          <t>Sótano 2</t>
        </is>
      </c>
      <c r="E53" s="27" t="n">
        <v>9.9</v>
      </c>
      <c r="F53" s="28" t="n">
        <v>0.001452</v>
      </c>
      <c r="G53" s="28" t="n">
        <v>0.00079</v>
      </c>
      <c r="H53" s="23" t="inlineStr">
        <is>
          <t>280-214994</t>
        </is>
      </c>
      <c r="I53" s="26">
        <f>IF(H53="","PENDIENTE",IF(LEFT(H53,10)="280-21XXXX","REVISAR","CONFIRMADO"))</f>
        <v/>
      </c>
    </row>
    <row r="54">
      <c r="B54" s="6" t="inlineStr">
        <is>
          <t>Carro Sótano 2</t>
        </is>
      </c>
      <c r="C54" s="21" t="inlineStr">
        <is>
          <t>Carro 57</t>
        </is>
      </c>
      <c r="D54" s="6" t="inlineStr">
        <is>
          <t>Sótano 2</t>
        </is>
      </c>
      <c r="E54" s="22" t="n">
        <v>9.9</v>
      </c>
      <c r="F54" s="14" t="n">
        <v>0.001452</v>
      </c>
      <c r="G54" s="14" t="n">
        <v>0.00079</v>
      </c>
      <c r="H54" s="23" t="inlineStr">
        <is>
          <t>280-214995</t>
        </is>
      </c>
      <c r="I54" s="24">
        <f>IF(H54="","PENDIENTE",IF(LEFT(H54,10)="280-21XXXX","REVISAR","CONFIRMADO"))</f>
        <v/>
      </c>
    </row>
    <row r="55">
      <c r="B55" s="33" t="inlineStr">
        <is>
          <t>Carro Sótano 2</t>
        </is>
      </c>
      <c r="C55" s="26" t="inlineStr">
        <is>
          <t>Carro 58</t>
        </is>
      </c>
      <c r="D55" s="33" t="inlineStr">
        <is>
          <t>Sótano 2</t>
        </is>
      </c>
      <c r="E55" s="27" t="n">
        <v>9.9</v>
      </c>
      <c r="F55" s="28" t="n">
        <v>0.001452</v>
      </c>
      <c r="G55" s="28" t="n">
        <v>0.00079</v>
      </c>
      <c r="H55" s="23" t="inlineStr">
        <is>
          <t>280-214996</t>
        </is>
      </c>
      <c r="I55" s="26">
        <f>IF(H55="","PENDIENTE",IF(LEFT(H55,10)="280-21XXXX","REVISAR","CONFIRMADO"))</f>
        <v/>
      </c>
    </row>
    <row r="56">
      <c r="B56" s="6" t="inlineStr">
        <is>
          <t>Carro Sótano 2</t>
        </is>
      </c>
      <c r="C56" s="21" t="inlineStr">
        <is>
          <t>Carro 76</t>
        </is>
      </c>
      <c r="D56" s="6" t="inlineStr">
        <is>
          <t>Sótano 2</t>
        </is>
      </c>
      <c r="E56" s="22" t="n">
        <v>9.9</v>
      </c>
      <c r="F56" s="14" t="n">
        <v>0.001452</v>
      </c>
      <c r="G56" s="14" t="n">
        <v>0.00079</v>
      </c>
      <c r="H56" s="23" t="inlineStr">
        <is>
          <t>280-214997</t>
        </is>
      </c>
      <c r="I56" s="24">
        <f>IF(H56="","PENDIENTE",IF(LEFT(H56,10)="280-21XXXX","REVISAR","CONFIRMADO"))</f>
        <v/>
      </c>
    </row>
    <row r="57">
      <c r="B57" s="33" t="inlineStr">
        <is>
          <t>Carro Sótano 2</t>
        </is>
      </c>
      <c r="C57" s="26" t="inlineStr">
        <is>
          <t>Carro 77</t>
        </is>
      </c>
      <c r="D57" s="33" t="inlineStr">
        <is>
          <t>Sótano 2</t>
        </is>
      </c>
      <c r="E57" s="27" t="n">
        <v>9.9</v>
      </c>
      <c r="F57" s="28" t="n">
        <v>0.001452</v>
      </c>
      <c r="G57" s="28" t="n">
        <v>0.00079</v>
      </c>
      <c r="H57" s="23" t="inlineStr">
        <is>
          <t>280-214998</t>
        </is>
      </c>
      <c r="I57" s="26">
        <f>IF(H57="","PENDIENTE",IF(LEFT(H57,10)="280-21XXXX","REVISAR","CONFIRMADO"))</f>
        <v/>
      </c>
    </row>
    <row r="58">
      <c r="B58" s="6" t="inlineStr">
        <is>
          <t>Carro Sótano 2</t>
        </is>
      </c>
      <c r="C58" s="21" t="inlineStr">
        <is>
          <t>Carro 78</t>
        </is>
      </c>
      <c r="D58" s="6" t="inlineStr">
        <is>
          <t>Sótano 2</t>
        </is>
      </c>
      <c r="E58" s="22" t="n">
        <v>9.9</v>
      </c>
      <c r="F58" s="14" t="n">
        <v>0.001452</v>
      </c>
      <c r="G58" s="14" t="n">
        <v>0.00079</v>
      </c>
      <c r="H58" s="23" t="inlineStr">
        <is>
          <t>280-214999</t>
        </is>
      </c>
      <c r="I58" s="24">
        <f>IF(H58="","PENDIENTE",IF(LEFT(H58,10)="280-21XXXX","REVISAR","CONFIRMADO"))</f>
        <v/>
      </c>
    </row>
    <row r="59">
      <c r="B59" s="33" t="inlineStr">
        <is>
          <t>Carro Sótano 2</t>
        </is>
      </c>
      <c r="C59" s="26" t="inlineStr">
        <is>
          <t>Carro 79</t>
        </is>
      </c>
      <c r="D59" s="33" t="inlineStr">
        <is>
          <t>Sótano 2</t>
        </is>
      </c>
      <c r="E59" s="27" t="n">
        <v>9.9</v>
      </c>
      <c r="F59" s="28" t="n">
        <v>0.001452</v>
      </c>
      <c r="G59" s="28" t="n">
        <v>0.00079</v>
      </c>
      <c r="H59" s="23" t="inlineStr">
        <is>
          <t>280-215000</t>
        </is>
      </c>
      <c r="I59" s="26">
        <f>IF(H59="","PENDIENTE",IF(LEFT(H59,10)="280-21XXXX","REVISAR","CONFIRMADO"))</f>
        <v/>
      </c>
    </row>
    <row r="60">
      <c r="B60" s="6" t="inlineStr">
        <is>
          <t>Carro Sótano 2</t>
        </is>
      </c>
      <c r="C60" s="21" t="inlineStr">
        <is>
          <t>Carro 80</t>
        </is>
      </c>
      <c r="D60" s="6" t="inlineStr">
        <is>
          <t>Sótano 2</t>
        </is>
      </c>
      <c r="E60" s="22" t="n">
        <v>9.9</v>
      </c>
      <c r="F60" s="14" t="n">
        <v>0.001452</v>
      </c>
      <c r="G60" s="14" t="n">
        <v>0.00079</v>
      </c>
      <c r="H60" s="23" t="inlineStr">
        <is>
          <t>280-215001</t>
        </is>
      </c>
      <c r="I60" s="24">
        <f>IF(H60="","PENDIENTE",IF(LEFT(H60,10)="280-21XXXX","REVISAR","CONFIRMADO"))</f>
        <v/>
      </c>
    </row>
    <row r="61">
      <c r="B61" s="33" t="inlineStr">
        <is>
          <t>Carro Sótano 2</t>
        </is>
      </c>
      <c r="C61" s="26" t="inlineStr">
        <is>
          <t>Carro 81</t>
        </is>
      </c>
      <c r="D61" s="33" t="inlineStr">
        <is>
          <t>Sótano 2</t>
        </is>
      </c>
      <c r="E61" s="27" t="n">
        <v>9.9</v>
      </c>
      <c r="F61" s="28" t="n">
        <v>0.001452</v>
      </c>
      <c r="G61" s="28" t="n">
        <v>0.00079</v>
      </c>
      <c r="H61" s="23" t="inlineStr">
        <is>
          <t>280-215002</t>
        </is>
      </c>
      <c r="I61" s="26">
        <f>IF(H61="","PENDIENTE",IF(LEFT(H61,10)="280-21XXXX","REVISAR","CONFIRMADO"))</f>
        <v/>
      </c>
    </row>
    <row r="62">
      <c r="B62" s="6" t="inlineStr">
        <is>
          <t>Carro Sótano 2</t>
        </is>
      </c>
      <c r="C62" s="21" t="inlineStr">
        <is>
          <t>Carro 82</t>
        </is>
      </c>
      <c r="D62" s="6" t="inlineStr">
        <is>
          <t>Sótano 2</t>
        </is>
      </c>
      <c r="E62" s="22" t="n">
        <v>9.9</v>
      </c>
      <c r="F62" s="14" t="n">
        <v>0.001452</v>
      </c>
      <c r="G62" s="14" t="n">
        <v>0.00079</v>
      </c>
      <c r="H62" s="23" t="inlineStr">
        <is>
          <t>280-215003</t>
        </is>
      </c>
      <c r="I62" s="24">
        <f>IF(H62="","PENDIENTE",IF(LEFT(H62,10)="280-21XXXX","REVISAR","CONFIRMADO"))</f>
        <v/>
      </c>
    </row>
    <row r="63">
      <c r="B63" s="33" t="inlineStr">
        <is>
          <t>Carro Sótano 2</t>
        </is>
      </c>
      <c r="C63" s="26" t="inlineStr">
        <is>
          <t>Carro 83</t>
        </is>
      </c>
      <c r="D63" s="33" t="inlineStr">
        <is>
          <t>Sótano 2</t>
        </is>
      </c>
      <c r="E63" s="27" t="n">
        <v>9.9</v>
      </c>
      <c r="F63" s="28" t="n">
        <v>0.001452</v>
      </c>
      <c r="G63" s="28" t="n">
        <v>0.00079</v>
      </c>
      <c r="H63" s="23" t="inlineStr">
        <is>
          <t>280-215004</t>
        </is>
      </c>
      <c r="I63" s="26">
        <f>IF(H63="","PENDIENTE",IF(LEFT(H63,10)="280-21XXXX","REVISAR","CONFIRMADO"))</f>
        <v/>
      </c>
    </row>
    <row r="64">
      <c r="B64" s="6" t="inlineStr">
        <is>
          <t>Carro Sótano 2</t>
        </is>
      </c>
      <c r="C64" s="21" t="inlineStr">
        <is>
          <t>Carro 84</t>
        </is>
      </c>
      <c r="D64" s="6" t="inlineStr">
        <is>
          <t>Sótano 2</t>
        </is>
      </c>
      <c r="E64" s="22" t="n">
        <v>9.9</v>
      </c>
      <c r="F64" s="14" t="n">
        <v>0.001452</v>
      </c>
      <c r="G64" s="14" t="n">
        <v>0.00079</v>
      </c>
      <c r="H64" s="23" t="inlineStr">
        <is>
          <t>280-215005</t>
        </is>
      </c>
      <c r="I64" s="24">
        <f>IF(H64="","PENDIENTE",IF(LEFT(H64,10)="280-21XXXX","REVISAR","CONFIRMADO"))</f>
        <v/>
      </c>
    </row>
    <row r="65">
      <c r="B65" s="33" t="inlineStr">
        <is>
          <t>Carro Sótano 2</t>
        </is>
      </c>
      <c r="C65" s="26" t="inlineStr">
        <is>
          <t>Carro 100</t>
        </is>
      </c>
      <c r="D65" s="33" t="inlineStr">
        <is>
          <t>Sótano 2</t>
        </is>
      </c>
      <c r="E65" s="27" t="n">
        <v>9.9</v>
      </c>
      <c r="F65" s="28" t="n">
        <v>0.001452</v>
      </c>
      <c r="G65" s="28" t="n">
        <v>0.00079</v>
      </c>
      <c r="H65" s="23" t="inlineStr">
        <is>
          <t>280-215006</t>
        </is>
      </c>
      <c r="I65" s="26">
        <f>IF(H65="","PENDIENTE",IF(LEFT(H65,10)="280-21XXXX","REVISAR","CONFIRMADO"))</f>
        <v/>
      </c>
    </row>
    <row r="66">
      <c r="B66" s="6" t="inlineStr">
        <is>
          <t>Carro Sótano 1</t>
        </is>
      </c>
      <c r="C66" s="21" t="inlineStr">
        <is>
          <t>Carro 101</t>
        </is>
      </c>
      <c r="D66" s="6" t="inlineStr">
        <is>
          <t>Sótano 1</t>
        </is>
      </c>
      <c r="E66" s="22" t="n">
        <v>9.9</v>
      </c>
      <c r="F66" s="14" t="n">
        <v>0.001452</v>
      </c>
      <c r="G66" s="14" t="n">
        <v>0.00079</v>
      </c>
      <c r="H66" s="23" t="inlineStr">
        <is>
          <t>280-215007</t>
        </is>
      </c>
      <c r="I66" s="24">
        <f>IF(H66="","PENDIENTE",IF(LEFT(H66,10)="280-21XXXX","REVISAR","CONFIRMADO"))</f>
        <v/>
      </c>
    </row>
    <row r="67">
      <c r="B67" s="33" t="inlineStr">
        <is>
          <t>Carro Sótano 1</t>
        </is>
      </c>
      <c r="C67" s="26" t="inlineStr">
        <is>
          <t>Carro 102</t>
        </is>
      </c>
      <c r="D67" s="33" t="inlineStr">
        <is>
          <t>Sótano 1</t>
        </is>
      </c>
      <c r="E67" s="27" t="n">
        <v>9.9</v>
      </c>
      <c r="F67" s="28" t="n">
        <v>0.001452</v>
      </c>
      <c r="G67" s="28" t="n">
        <v>0.00079</v>
      </c>
      <c r="H67" s="23" t="inlineStr">
        <is>
          <t>280-215008</t>
        </is>
      </c>
      <c r="I67" s="26">
        <f>IF(H67="","PENDIENTE",IF(LEFT(H67,10)="280-21XXXX","REVISAR","CONFIRMADO"))</f>
        <v/>
      </c>
    </row>
    <row r="68">
      <c r="B68" s="6" t="inlineStr">
        <is>
          <t>Carro Sótano 1</t>
        </is>
      </c>
      <c r="C68" s="21" t="inlineStr">
        <is>
          <t>Carro 103</t>
        </is>
      </c>
      <c r="D68" s="6" t="inlineStr">
        <is>
          <t>Sótano 1</t>
        </is>
      </c>
      <c r="E68" s="22" t="n">
        <v>9.9</v>
      </c>
      <c r="F68" s="14" t="n">
        <v>0.001452</v>
      </c>
      <c r="G68" s="14" t="n">
        <v>0.00079</v>
      </c>
      <c r="H68" s="23" t="inlineStr">
        <is>
          <t>280-215009</t>
        </is>
      </c>
      <c r="I68" s="24">
        <f>IF(H68="","PENDIENTE",IF(LEFT(H68,10)="280-21XXXX","REVISAR","CONFIRMADO"))</f>
        <v/>
      </c>
    </row>
    <row r="69">
      <c r="B69" s="33" t="inlineStr">
        <is>
          <t>Carro Sótano 1</t>
        </is>
      </c>
      <c r="C69" s="26" t="inlineStr">
        <is>
          <t>Carro 104</t>
        </is>
      </c>
      <c r="D69" s="33" t="inlineStr">
        <is>
          <t>Sótano 1</t>
        </is>
      </c>
      <c r="E69" s="27" t="n">
        <v>9.9</v>
      </c>
      <c r="F69" s="28" t="n">
        <v>0.001452</v>
      </c>
      <c r="G69" s="28" t="n">
        <v>0.00079</v>
      </c>
      <c r="H69" s="23" t="inlineStr">
        <is>
          <t>280-215010</t>
        </is>
      </c>
      <c r="I69" s="26">
        <f>IF(H69="","PENDIENTE",IF(LEFT(H69,10)="280-21XXXX","REVISAR","CONFIRMADO"))</f>
        <v/>
      </c>
    </row>
    <row r="70">
      <c r="B70" s="6" t="inlineStr">
        <is>
          <t>Carro Sótano 1</t>
        </is>
      </c>
      <c r="C70" s="21" t="inlineStr">
        <is>
          <t>Carro 105</t>
        </is>
      </c>
      <c r="D70" s="6" t="inlineStr">
        <is>
          <t>Sótano 1</t>
        </is>
      </c>
      <c r="E70" s="22" t="n">
        <v>9.9</v>
      </c>
      <c r="F70" s="14" t="n">
        <v>0.001452</v>
      </c>
      <c r="G70" s="14" t="n">
        <v>0.00079</v>
      </c>
      <c r="H70" s="23" t="inlineStr">
        <is>
          <t>280-215011</t>
        </is>
      </c>
      <c r="I70" s="24">
        <f>IF(H70="","PENDIENTE",IF(LEFT(H70,10)="280-21XXXX","REVISAR","CONFIRMADO"))</f>
        <v/>
      </c>
    </row>
    <row r="71">
      <c r="B71" s="33" t="inlineStr">
        <is>
          <t>Carro Sótano 1</t>
        </is>
      </c>
      <c r="C71" s="26" t="inlineStr">
        <is>
          <t>Carro 106</t>
        </is>
      </c>
      <c r="D71" s="33" t="inlineStr">
        <is>
          <t>Sótano 1</t>
        </is>
      </c>
      <c r="E71" s="27" t="n">
        <v>9.9</v>
      </c>
      <c r="F71" s="28" t="n">
        <v>0.001452</v>
      </c>
      <c r="G71" s="28" t="n">
        <v>0.00079</v>
      </c>
      <c r="H71" s="23" t="inlineStr">
        <is>
          <t>280-215012</t>
        </is>
      </c>
      <c r="I71" s="26">
        <f>IF(H71="","PENDIENTE",IF(LEFT(H71,10)="280-21XXXX","REVISAR","CONFIRMADO"))</f>
        <v/>
      </c>
    </row>
    <row r="72">
      <c r="B72" s="6" t="inlineStr">
        <is>
          <t>Carro Sótano 1</t>
        </is>
      </c>
      <c r="C72" s="21" t="inlineStr">
        <is>
          <t>Carro 107</t>
        </is>
      </c>
      <c r="D72" s="6" t="inlineStr">
        <is>
          <t>Sótano 1</t>
        </is>
      </c>
      <c r="E72" s="22" t="n">
        <v>9.9</v>
      </c>
      <c r="F72" s="14" t="n">
        <v>0.001452</v>
      </c>
      <c r="G72" s="14" t="n">
        <v>0.00079</v>
      </c>
      <c r="H72" s="23" t="inlineStr">
        <is>
          <t>280-215013</t>
        </is>
      </c>
      <c r="I72" s="24">
        <f>IF(H72="","PENDIENTE",IF(LEFT(H72,10)="280-21XXXX","REVISAR","CONFIRMADO"))</f>
        <v/>
      </c>
    </row>
    <row r="73">
      <c r="B73" s="33" t="inlineStr">
        <is>
          <t>Carro Sótano 1</t>
        </is>
      </c>
      <c r="C73" s="26" t="inlineStr">
        <is>
          <t>Carro 108</t>
        </is>
      </c>
      <c r="D73" s="33" t="inlineStr">
        <is>
          <t>Sótano 1</t>
        </is>
      </c>
      <c r="E73" s="27" t="n">
        <v>9.9</v>
      </c>
      <c r="F73" s="28" t="n">
        <v>0.001452</v>
      </c>
      <c r="G73" s="28" t="n">
        <v>0.00079</v>
      </c>
      <c r="H73" s="23" t="inlineStr">
        <is>
          <t>280-215014</t>
        </is>
      </c>
      <c r="I73" s="26">
        <f>IF(H73="","PENDIENTE",IF(LEFT(H73,10)="280-21XXXX","REVISAR","CONFIRMADO"))</f>
        <v/>
      </c>
    </row>
    <row r="74">
      <c r="B74" s="6" t="inlineStr">
        <is>
          <t>Carro Sótano 1</t>
        </is>
      </c>
      <c r="C74" s="21" t="inlineStr">
        <is>
          <t>Carro 109</t>
        </is>
      </c>
      <c r="D74" s="6" t="inlineStr">
        <is>
          <t>Sótano 1</t>
        </is>
      </c>
      <c r="E74" s="22" t="n">
        <v>9.9</v>
      </c>
      <c r="F74" s="14" t="n">
        <v>0.001452</v>
      </c>
      <c r="G74" s="14" t="n">
        <v>0.00079</v>
      </c>
      <c r="H74" s="23" t="inlineStr">
        <is>
          <t>280-215015</t>
        </is>
      </c>
      <c r="I74" s="24">
        <f>IF(H74="","PENDIENTE",IF(LEFT(H74,10)="280-21XXXX","REVISAR","CONFIRMADO"))</f>
        <v/>
      </c>
    </row>
    <row r="75">
      <c r="B75" s="33" t="inlineStr">
        <is>
          <t>Carro Sótano 1</t>
        </is>
      </c>
      <c r="C75" s="26" t="inlineStr">
        <is>
          <t>Carro 110</t>
        </is>
      </c>
      <c r="D75" s="33" t="inlineStr">
        <is>
          <t>Sótano 1</t>
        </is>
      </c>
      <c r="E75" s="27" t="n">
        <v>9.9</v>
      </c>
      <c r="F75" s="28" t="n">
        <v>0.001452</v>
      </c>
      <c r="G75" s="28" t="n">
        <v>0.00079</v>
      </c>
      <c r="H75" s="23" t="inlineStr">
        <is>
          <t>280-215016</t>
        </is>
      </c>
      <c r="I75" s="26">
        <f>IF(H75="","PENDIENTE",IF(LEFT(H75,10)="280-21XXXX","REVISAR","CONFIRMADO"))</f>
        <v/>
      </c>
    </row>
    <row r="76">
      <c r="B76" s="6" t="inlineStr">
        <is>
          <t>Carro Sótano 1</t>
        </is>
      </c>
      <c r="C76" s="21" t="inlineStr">
        <is>
          <t>Carro 111</t>
        </is>
      </c>
      <c r="D76" s="6" t="inlineStr">
        <is>
          <t>Sótano 1</t>
        </is>
      </c>
      <c r="E76" s="22" t="n">
        <v>9.9</v>
      </c>
      <c r="F76" s="14" t="n">
        <v>0.001452</v>
      </c>
      <c r="G76" s="14" t="n">
        <v>0.00079</v>
      </c>
      <c r="H76" s="23" t="inlineStr">
        <is>
          <t>280-215017</t>
        </is>
      </c>
      <c r="I76" s="24">
        <f>IF(H76="","PENDIENTE",IF(LEFT(H76,10)="280-21XXXX","REVISAR","CONFIRMADO"))</f>
        <v/>
      </c>
    </row>
    <row r="77">
      <c r="B77" s="33" t="inlineStr">
        <is>
          <t>Carro Sótano 1</t>
        </is>
      </c>
      <c r="C77" s="26" t="inlineStr">
        <is>
          <t>Carro 112</t>
        </is>
      </c>
      <c r="D77" s="33" t="inlineStr">
        <is>
          <t>Sótano 1</t>
        </is>
      </c>
      <c r="E77" s="27" t="n">
        <v>9.9</v>
      </c>
      <c r="F77" s="28" t="n">
        <v>0.001452</v>
      </c>
      <c r="G77" s="28" t="n">
        <v>0.00079</v>
      </c>
      <c r="H77" s="23" t="inlineStr">
        <is>
          <t>280-215018</t>
        </is>
      </c>
      <c r="I77" s="26">
        <f>IF(H77="","PENDIENTE",IF(LEFT(H77,10)="280-21XXXX","REVISAR","CONFIRMADO"))</f>
        <v/>
      </c>
    </row>
    <row r="78">
      <c r="B78" s="6" t="inlineStr">
        <is>
          <t>Carro Sótano 1</t>
        </is>
      </c>
      <c r="C78" s="21" t="inlineStr">
        <is>
          <t>Carro 113</t>
        </is>
      </c>
      <c r="D78" s="6" t="inlineStr">
        <is>
          <t>Sótano 1</t>
        </is>
      </c>
      <c r="E78" s="22" t="n">
        <v>9.9</v>
      </c>
      <c r="F78" s="14" t="n">
        <v>0.001452</v>
      </c>
      <c r="G78" s="14" t="n">
        <v>0.00079</v>
      </c>
      <c r="H78" s="23" t="inlineStr">
        <is>
          <t>280-215019</t>
        </is>
      </c>
      <c r="I78" s="24">
        <f>IF(H78="","PENDIENTE",IF(LEFT(H78,10)="280-21XXXX","REVISAR","CONFIRMADO"))</f>
        <v/>
      </c>
    </row>
    <row r="79">
      <c r="B79" s="33" t="inlineStr">
        <is>
          <t>Carro Sótano 1</t>
        </is>
      </c>
      <c r="C79" s="26" t="inlineStr">
        <is>
          <t>Carro 114</t>
        </is>
      </c>
      <c r="D79" s="33" t="inlineStr">
        <is>
          <t>Sótano 1</t>
        </is>
      </c>
      <c r="E79" s="27" t="n">
        <v>9.9</v>
      </c>
      <c r="F79" s="28" t="n">
        <v>0.001452</v>
      </c>
      <c r="G79" s="28" t="n">
        <v>0.00079</v>
      </c>
      <c r="H79" s="23" t="inlineStr">
        <is>
          <t>280-215020</t>
        </is>
      </c>
      <c r="I79" s="26">
        <f>IF(H79="","PENDIENTE",IF(LEFT(H79,10)="280-21XXXX","REVISAR","CONFIRMADO"))</f>
        <v/>
      </c>
    </row>
    <row r="80">
      <c r="B80" s="6" t="inlineStr">
        <is>
          <t>Carro Sótano 1</t>
        </is>
      </c>
      <c r="C80" s="21" t="inlineStr">
        <is>
          <t>Carro 115</t>
        </is>
      </c>
      <c r="D80" s="6" t="inlineStr">
        <is>
          <t>Sótano 1</t>
        </is>
      </c>
      <c r="E80" s="22" t="n">
        <v>9.9</v>
      </c>
      <c r="F80" s="14" t="n">
        <v>0.001452</v>
      </c>
      <c r="G80" s="14" t="n">
        <v>0.00079</v>
      </c>
      <c r="H80" s="23" t="inlineStr">
        <is>
          <t>280-215021</t>
        </is>
      </c>
      <c r="I80" s="24">
        <f>IF(H80="","PENDIENTE",IF(LEFT(H80,10)="280-21XXXX","REVISAR","CONFIRMADO"))</f>
        <v/>
      </c>
    </row>
    <row r="81">
      <c r="B81" s="33" t="inlineStr">
        <is>
          <t>Carro Sótano 1</t>
        </is>
      </c>
      <c r="C81" s="26" t="inlineStr">
        <is>
          <t>Carro 116</t>
        </is>
      </c>
      <c r="D81" s="33" t="inlineStr">
        <is>
          <t>Sótano 1</t>
        </is>
      </c>
      <c r="E81" s="27" t="n">
        <v>9.9</v>
      </c>
      <c r="F81" s="28" t="n">
        <v>0.001452</v>
      </c>
      <c r="G81" s="28" t="n">
        <v>0.00079</v>
      </c>
      <c r="H81" s="23" t="inlineStr">
        <is>
          <t>280-215022</t>
        </is>
      </c>
      <c r="I81" s="26">
        <f>IF(H81="","PENDIENTE",IF(LEFT(H81,10)="280-21XXXX","REVISAR","CONFIRMADO"))</f>
        <v/>
      </c>
    </row>
    <row r="82">
      <c r="B82" s="6" t="inlineStr">
        <is>
          <t>Carro Sótano 1</t>
        </is>
      </c>
      <c r="C82" s="21" t="inlineStr">
        <is>
          <t>Carro 117</t>
        </is>
      </c>
      <c r="D82" s="6" t="inlineStr">
        <is>
          <t>Sótano 1</t>
        </is>
      </c>
      <c r="E82" s="22" t="n">
        <v>9.9</v>
      </c>
      <c r="F82" s="14" t="n">
        <v>0.001452</v>
      </c>
      <c r="G82" s="14" t="n">
        <v>0.00079</v>
      </c>
      <c r="H82" s="23" t="inlineStr">
        <is>
          <t>280-215023</t>
        </is>
      </c>
      <c r="I82" s="24">
        <f>IF(H82="","PENDIENTE",IF(LEFT(H82,10)="280-21XXXX","REVISAR","CONFIRMADO"))</f>
        <v/>
      </c>
    </row>
    <row r="83">
      <c r="B83" s="33" t="inlineStr">
        <is>
          <t>Carro Sótano 1</t>
        </is>
      </c>
      <c r="C83" s="26" t="inlineStr">
        <is>
          <t>Carro 118</t>
        </is>
      </c>
      <c r="D83" s="33" t="inlineStr">
        <is>
          <t>Sótano 1</t>
        </is>
      </c>
      <c r="E83" s="27" t="n">
        <v>9.9</v>
      </c>
      <c r="F83" s="28" t="n">
        <v>0.001452</v>
      </c>
      <c r="G83" s="28" t="n">
        <v>0.00079</v>
      </c>
      <c r="H83" s="23" t="inlineStr">
        <is>
          <t>280-215024</t>
        </is>
      </c>
      <c r="I83" s="26">
        <f>IF(H83="","PENDIENTE",IF(LEFT(H83,10)="280-21XXXX","REVISAR","CONFIRMADO"))</f>
        <v/>
      </c>
    </row>
    <row r="84">
      <c r="B84" s="6" t="inlineStr">
        <is>
          <t>Carro Sótano 1</t>
        </is>
      </c>
      <c r="C84" s="21" t="inlineStr">
        <is>
          <t>Carro 119</t>
        </is>
      </c>
      <c r="D84" s="6" t="inlineStr">
        <is>
          <t>Sótano 1</t>
        </is>
      </c>
      <c r="E84" s="22" t="n">
        <v>9.9</v>
      </c>
      <c r="F84" s="14" t="n">
        <v>0.001452</v>
      </c>
      <c r="G84" s="14" t="n">
        <v>0.00079</v>
      </c>
      <c r="H84" s="23" t="inlineStr">
        <is>
          <t>280-215025</t>
        </is>
      </c>
      <c r="I84" s="24">
        <f>IF(H84="","PENDIENTE",IF(LEFT(H84,10)="280-21XXXX","REVISAR","CONFIRMADO"))</f>
        <v/>
      </c>
    </row>
    <row r="85">
      <c r="B85" s="33" t="inlineStr">
        <is>
          <t>Carro Sótano 1</t>
        </is>
      </c>
      <c r="C85" s="26" t="inlineStr">
        <is>
          <t>Carro 120</t>
        </is>
      </c>
      <c r="D85" s="33" t="inlineStr">
        <is>
          <t>Sótano 1</t>
        </is>
      </c>
      <c r="E85" s="27" t="n">
        <v>9.9</v>
      </c>
      <c r="F85" s="28" t="n">
        <v>0.001452</v>
      </c>
      <c r="G85" s="28" t="n">
        <v>0.00079</v>
      </c>
      <c r="H85" s="23" t="inlineStr">
        <is>
          <t>280-215026</t>
        </is>
      </c>
      <c r="I85" s="26">
        <f>IF(H85="","PENDIENTE",IF(LEFT(H85,10)="280-21XXXX","REVISAR","CONFIRMADO"))</f>
        <v/>
      </c>
    </row>
    <row r="86">
      <c r="B86" s="6" t="inlineStr">
        <is>
          <t>Carro Sótano 1</t>
        </is>
      </c>
      <c r="C86" s="21" t="inlineStr">
        <is>
          <t>Carro 121</t>
        </is>
      </c>
      <c r="D86" s="6" t="inlineStr">
        <is>
          <t>Sótano 1</t>
        </is>
      </c>
      <c r="E86" s="22" t="n">
        <v>9.9</v>
      </c>
      <c r="F86" s="14" t="n">
        <v>0.001452</v>
      </c>
      <c r="G86" s="14" t="n">
        <v>0.00079</v>
      </c>
      <c r="H86" s="23" t="inlineStr">
        <is>
          <t>280-215027</t>
        </is>
      </c>
      <c r="I86" s="24">
        <f>IF(H86="","PENDIENTE",IF(LEFT(H86,10)="280-21XXXX","REVISAR","CONFIRMADO"))</f>
        <v/>
      </c>
    </row>
    <row r="87">
      <c r="B87" s="33" t="inlineStr">
        <is>
          <t>Carro Sótano 1</t>
        </is>
      </c>
      <c r="C87" s="26" t="inlineStr">
        <is>
          <t>Carro 122</t>
        </is>
      </c>
      <c r="D87" s="33" t="inlineStr">
        <is>
          <t>Sótano 1</t>
        </is>
      </c>
      <c r="E87" s="27" t="n">
        <v>9.9</v>
      </c>
      <c r="F87" s="28" t="n">
        <v>0.001452</v>
      </c>
      <c r="G87" s="28" t="n">
        <v>0.00079</v>
      </c>
      <c r="H87" s="23" t="inlineStr">
        <is>
          <t>280-215028</t>
        </is>
      </c>
      <c r="I87" s="26">
        <f>IF(H87="","PENDIENTE",IF(LEFT(H87,10)="280-21XXXX","REVISAR","CONFIRMADO"))</f>
        <v/>
      </c>
    </row>
    <row r="88">
      <c r="B88" s="6" t="inlineStr">
        <is>
          <t>Carro Sótano 1</t>
        </is>
      </c>
      <c r="C88" s="21" t="inlineStr">
        <is>
          <t>Carro 128</t>
        </is>
      </c>
      <c r="D88" s="6" t="inlineStr">
        <is>
          <t>Sótano 1</t>
        </is>
      </c>
      <c r="E88" s="22" t="n">
        <v>9.9</v>
      </c>
      <c r="F88" s="14" t="n">
        <v>0.001452</v>
      </c>
      <c r="G88" s="14" t="n">
        <v>0.00079</v>
      </c>
      <c r="H88" s="23" t="inlineStr">
        <is>
          <t>280-215029</t>
        </is>
      </c>
      <c r="I88" s="24">
        <f>IF(H88="","PENDIENTE",IF(LEFT(H88,10)="280-21XXXX","REVISAR","CONFIRMADO"))</f>
        <v/>
      </c>
    </row>
    <row r="89">
      <c r="B89" s="33" t="inlineStr">
        <is>
          <t>Carro Sótano 1</t>
        </is>
      </c>
      <c r="C89" s="26" t="inlineStr">
        <is>
          <t>Carro 129</t>
        </is>
      </c>
      <c r="D89" s="33" t="inlineStr">
        <is>
          <t>Sótano 1</t>
        </is>
      </c>
      <c r="E89" s="27" t="n">
        <v>9.9</v>
      </c>
      <c r="F89" s="28" t="n">
        <v>0.001452</v>
      </c>
      <c r="G89" s="28" t="n">
        <v>0.00079</v>
      </c>
      <c r="H89" s="23" t="inlineStr">
        <is>
          <t>280-215030</t>
        </is>
      </c>
      <c r="I89" s="26">
        <f>IF(H89="","PENDIENTE",IF(LEFT(H89,10)="280-21XXXX","REVISAR","CONFIRMADO"))</f>
        <v/>
      </c>
    </row>
    <row r="90">
      <c r="B90" s="6" t="inlineStr">
        <is>
          <t>Carro Sótano 1</t>
        </is>
      </c>
      <c r="C90" s="21" t="inlineStr">
        <is>
          <t>Carro 130</t>
        </is>
      </c>
      <c r="D90" s="6" t="inlineStr">
        <is>
          <t>Sótano 1</t>
        </is>
      </c>
      <c r="E90" s="22" t="n">
        <v>9.9</v>
      </c>
      <c r="F90" s="14" t="n">
        <v>0.001452</v>
      </c>
      <c r="G90" s="14" t="n">
        <v>0.00079</v>
      </c>
      <c r="H90" s="23" t="inlineStr">
        <is>
          <t>280-215031</t>
        </is>
      </c>
      <c r="I90" s="24">
        <f>IF(H90="","PENDIENTE",IF(LEFT(H90,10)="280-21XXXX","REVISAR","CONFIRMADO"))</f>
        <v/>
      </c>
    </row>
    <row r="91">
      <c r="B91" s="33" t="inlineStr">
        <is>
          <t>Carro Sótano 1</t>
        </is>
      </c>
      <c r="C91" s="26" t="inlineStr">
        <is>
          <t>Carro 131</t>
        </is>
      </c>
      <c r="D91" s="33" t="inlineStr">
        <is>
          <t>Sótano 1</t>
        </is>
      </c>
      <c r="E91" s="27" t="n">
        <v>9.9</v>
      </c>
      <c r="F91" s="28" t="n">
        <v>0.001452</v>
      </c>
      <c r="G91" s="28" t="n">
        <v>0.00079</v>
      </c>
      <c r="H91" s="23" t="inlineStr">
        <is>
          <t>280-215032</t>
        </is>
      </c>
      <c r="I91" s="26">
        <f>IF(H91="","PENDIENTE",IF(LEFT(H91,10)="280-21XXXX","REVISAR","CONFIRMADO"))</f>
        <v/>
      </c>
    </row>
    <row r="92">
      <c r="B92" s="6" t="inlineStr">
        <is>
          <t>Carro Sótano 1</t>
        </is>
      </c>
      <c r="C92" s="21" t="inlineStr">
        <is>
          <t>Carro 132</t>
        </is>
      </c>
      <c r="D92" s="6" t="inlineStr">
        <is>
          <t>Sótano 1</t>
        </is>
      </c>
      <c r="E92" s="22" t="n">
        <v>9.9</v>
      </c>
      <c r="F92" s="14" t="n">
        <v>0.001452</v>
      </c>
      <c r="G92" s="14" t="n">
        <v>0.00079</v>
      </c>
      <c r="H92" s="23" t="inlineStr">
        <is>
          <t>280-215033</t>
        </is>
      </c>
      <c r="I92" s="24">
        <f>IF(H92="","PENDIENTE",IF(LEFT(H92,10)="280-21XXXX","REVISAR","CONFIRMADO"))</f>
        <v/>
      </c>
    </row>
    <row r="93">
      <c r="B93" s="33" t="inlineStr">
        <is>
          <t>Carro Sótano 1</t>
        </is>
      </c>
      <c r="C93" s="26" t="inlineStr">
        <is>
          <t>Carro 133</t>
        </is>
      </c>
      <c r="D93" s="33" t="inlineStr">
        <is>
          <t>Sótano 1</t>
        </is>
      </c>
      <c r="E93" s="27" t="n">
        <v>9.9</v>
      </c>
      <c r="F93" s="28" t="n">
        <v>0.001452</v>
      </c>
      <c r="G93" s="28" t="n">
        <v>0.00079</v>
      </c>
      <c r="H93" s="23" t="inlineStr">
        <is>
          <t>280-215034</t>
        </is>
      </c>
      <c r="I93" s="26">
        <f>IF(H93="","PENDIENTE",IF(LEFT(H93,10)="280-21XXXX","REVISAR","CONFIRMADO"))</f>
        <v/>
      </c>
    </row>
    <row r="94">
      <c r="B94" s="6" t="inlineStr">
        <is>
          <t>Carro Sótano 1</t>
        </is>
      </c>
      <c r="C94" s="21" t="inlineStr">
        <is>
          <t>Carro 134</t>
        </is>
      </c>
      <c r="D94" s="6" t="inlineStr">
        <is>
          <t>Sótano 1</t>
        </is>
      </c>
      <c r="E94" s="22" t="n">
        <v>9.9</v>
      </c>
      <c r="F94" s="14" t="n">
        <v>0.001452</v>
      </c>
      <c r="G94" s="14" t="n">
        <v>0.00079</v>
      </c>
      <c r="H94" s="23" t="inlineStr">
        <is>
          <t>280-215035</t>
        </is>
      </c>
      <c r="I94" s="24">
        <f>IF(H94="","PENDIENTE",IF(LEFT(H94,10)="280-21XXXX","REVISAR","CONFIRMADO"))</f>
        <v/>
      </c>
    </row>
    <row r="95">
      <c r="B95" s="33" t="inlineStr">
        <is>
          <t>Carro Sótano 1</t>
        </is>
      </c>
      <c r="C95" s="26" t="inlineStr">
        <is>
          <t>Carro 135</t>
        </is>
      </c>
      <c r="D95" s="33" t="inlineStr">
        <is>
          <t>Sótano 1</t>
        </is>
      </c>
      <c r="E95" s="27" t="n">
        <v>9.9</v>
      </c>
      <c r="F95" s="28" t="n">
        <v>0.001452</v>
      </c>
      <c r="G95" s="28" t="n">
        <v>0.00079</v>
      </c>
      <c r="H95" s="23" t="inlineStr">
        <is>
          <t>280-215036</t>
        </is>
      </c>
      <c r="I95" s="26">
        <f>IF(H95="","PENDIENTE",IF(LEFT(H95,10)="280-21XXXX","REVISAR","CONFIRMADO"))</f>
        <v/>
      </c>
    </row>
    <row r="96">
      <c r="B96" s="6" t="inlineStr">
        <is>
          <t>Carro Sótano 1</t>
        </is>
      </c>
      <c r="C96" s="21" t="inlineStr">
        <is>
          <t>Carro 136</t>
        </is>
      </c>
      <c r="D96" s="6" t="inlineStr">
        <is>
          <t>Sótano 1</t>
        </is>
      </c>
      <c r="E96" s="22" t="n">
        <v>9.9</v>
      </c>
      <c r="F96" s="14" t="n">
        <v>0.001452</v>
      </c>
      <c r="G96" s="14" t="n">
        <v>0.00079</v>
      </c>
      <c r="H96" s="23" t="inlineStr">
        <is>
          <t>280-215037</t>
        </is>
      </c>
      <c r="I96" s="24">
        <f>IF(H96="","PENDIENTE",IF(LEFT(H96,10)="280-21XXXX","REVISAR","CONFIRMADO"))</f>
        <v/>
      </c>
    </row>
    <row r="97">
      <c r="B97" s="33" t="inlineStr">
        <is>
          <t>Carro Sótano 1</t>
        </is>
      </c>
      <c r="C97" s="26" t="inlineStr">
        <is>
          <t>Carro 137</t>
        </is>
      </c>
      <c r="D97" s="33" t="inlineStr">
        <is>
          <t>Sótano 1</t>
        </is>
      </c>
      <c r="E97" s="27" t="n">
        <v>9.9</v>
      </c>
      <c r="F97" s="28" t="n">
        <v>0.001452</v>
      </c>
      <c r="G97" s="28" t="n">
        <v>0.00079</v>
      </c>
      <c r="H97" s="23" t="inlineStr">
        <is>
          <t>280-215038</t>
        </is>
      </c>
      <c r="I97" s="26">
        <f>IF(H97="","PENDIENTE",IF(LEFT(H97,10)="280-21XXXX","REVISAR","CONFIRMADO"))</f>
        <v/>
      </c>
    </row>
    <row r="98">
      <c r="B98" s="6" t="inlineStr">
        <is>
          <t>Carro Sótano 1</t>
        </is>
      </c>
      <c r="C98" s="21" t="inlineStr">
        <is>
          <t>Carro 138</t>
        </is>
      </c>
      <c r="D98" s="6" t="inlineStr">
        <is>
          <t>Sótano 1</t>
        </is>
      </c>
      <c r="E98" s="22" t="n">
        <v>9.9</v>
      </c>
      <c r="F98" s="14" t="n">
        <v>0.001452</v>
      </c>
      <c r="G98" s="14" t="n">
        <v>0.00079</v>
      </c>
      <c r="H98" s="23" t="inlineStr">
        <is>
          <t>280-215039</t>
        </is>
      </c>
      <c r="I98" s="24">
        <f>IF(H98="","PENDIENTE",IF(LEFT(H98,10)="280-21XXXX","REVISAR","CONFIRMADO"))</f>
        <v/>
      </c>
    </row>
    <row r="99">
      <c r="B99" s="33" t="inlineStr">
        <is>
          <t>Carro Sótano 1</t>
        </is>
      </c>
      <c r="C99" s="26" t="inlineStr">
        <is>
          <t>Carro 139</t>
        </is>
      </c>
      <c r="D99" s="33" t="inlineStr">
        <is>
          <t>Sótano 1</t>
        </is>
      </c>
      <c r="E99" s="27" t="n">
        <v>9.9</v>
      </c>
      <c r="F99" s="28" t="n">
        <v>0.001452</v>
      </c>
      <c r="G99" s="28" t="n">
        <v>0.00079</v>
      </c>
      <c r="H99" s="23" t="inlineStr">
        <is>
          <t>280-215040</t>
        </is>
      </c>
      <c r="I99" s="26">
        <f>IF(H99="","PENDIENTE",IF(LEFT(H99,10)="280-21XXXX","REVISAR","CONFIRMADO"))</f>
        <v/>
      </c>
    </row>
    <row r="100">
      <c r="B100" s="6" t="inlineStr">
        <is>
          <t>Carro Sótano 1</t>
        </is>
      </c>
      <c r="C100" s="21" t="inlineStr">
        <is>
          <t>Carro 148</t>
        </is>
      </c>
      <c r="D100" s="6" t="inlineStr">
        <is>
          <t>Sótano 1</t>
        </is>
      </c>
      <c r="E100" s="22" t="n">
        <v>9.9</v>
      </c>
      <c r="F100" s="14" t="n">
        <v>0.001452</v>
      </c>
      <c r="G100" s="14" t="n">
        <v>0.00079</v>
      </c>
      <c r="H100" s="23" t="inlineStr">
        <is>
          <t>280-215041</t>
        </is>
      </c>
      <c r="I100" s="24">
        <f>IF(H100="","PENDIENTE",IF(LEFT(H100,10)="280-21XXXX","REVISAR","CONFIRMADO"))</f>
        <v/>
      </c>
    </row>
    <row r="101">
      <c r="B101" s="33" t="inlineStr">
        <is>
          <t>Carro Sótano 1</t>
        </is>
      </c>
      <c r="C101" s="26" t="inlineStr">
        <is>
          <t>Carro 149</t>
        </is>
      </c>
      <c r="D101" s="33" t="inlineStr">
        <is>
          <t>Sótano 1</t>
        </is>
      </c>
      <c r="E101" s="27" t="n">
        <v>9.9</v>
      </c>
      <c r="F101" s="28" t="n">
        <v>0.001452</v>
      </c>
      <c r="G101" s="28" t="n">
        <v>0.00079</v>
      </c>
      <c r="H101" s="23" t="inlineStr">
        <is>
          <t>280-215042</t>
        </is>
      </c>
      <c r="I101" s="26">
        <f>IF(H101="","PENDIENTE",IF(LEFT(H101,10)="280-21XXXX","REVISAR","CONFIRMADO"))</f>
        <v/>
      </c>
    </row>
    <row r="102">
      <c r="B102" s="6" t="inlineStr">
        <is>
          <t>Carro Sótano 1</t>
        </is>
      </c>
      <c r="C102" s="21" t="inlineStr">
        <is>
          <t>Carro 150</t>
        </is>
      </c>
      <c r="D102" s="6" t="inlineStr">
        <is>
          <t>Sótano 1</t>
        </is>
      </c>
      <c r="E102" s="22" t="n">
        <v>9.9</v>
      </c>
      <c r="F102" s="14" t="n">
        <v>0.001452</v>
      </c>
      <c r="G102" s="14" t="n">
        <v>0.00079</v>
      </c>
      <c r="H102" s="23" t="inlineStr">
        <is>
          <t>280-215043</t>
        </is>
      </c>
      <c r="I102" s="24">
        <f>IF(H102="","PENDIENTE",IF(LEFT(H102,10)="280-21XXXX","REVISAR","CONFIRMADO"))</f>
        <v/>
      </c>
    </row>
    <row r="103">
      <c r="B103" s="33" t="inlineStr">
        <is>
          <t>Carro Sótano 1</t>
        </is>
      </c>
      <c r="C103" s="26" t="inlineStr">
        <is>
          <t>Carro 151</t>
        </is>
      </c>
      <c r="D103" s="33" t="inlineStr">
        <is>
          <t>Sótano 1</t>
        </is>
      </c>
      <c r="E103" s="27" t="n">
        <v>9.9</v>
      </c>
      <c r="F103" s="28" t="n">
        <v>0.001452</v>
      </c>
      <c r="G103" s="28" t="n">
        <v>0.00079</v>
      </c>
      <c r="H103" s="23" t="inlineStr">
        <is>
          <t>280-215044</t>
        </is>
      </c>
      <c r="I103" s="26">
        <f>IF(H103="","PENDIENTE",IF(LEFT(H103,10)="280-21XXXX","REVISAR","CONFIRMADO"))</f>
        <v/>
      </c>
    </row>
    <row r="104">
      <c r="B104" s="6" t="inlineStr">
        <is>
          <t>Carro Sótano 1</t>
        </is>
      </c>
      <c r="C104" s="21" t="inlineStr">
        <is>
          <t>Carro 152</t>
        </is>
      </c>
      <c r="D104" s="6" t="inlineStr">
        <is>
          <t>Sótano 1</t>
        </is>
      </c>
      <c r="E104" s="22" t="n">
        <v>9.9</v>
      </c>
      <c r="F104" s="14" t="n">
        <v>0.001452</v>
      </c>
      <c r="G104" s="14" t="n">
        <v>0.00079</v>
      </c>
      <c r="H104" s="23" t="inlineStr">
        <is>
          <t>280-215045</t>
        </is>
      </c>
      <c r="I104" s="24">
        <f>IF(H104="","PENDIENTE",IF(LEFT(H104,10)="280-21XXXX","REVISAR","CONFIRMADO"))</f>
        <v/>
      </c>
    </row>
    <row r="105">
      <c r="B105" s="33" t="inlineStr">
        <is>
          <t>Carro Sótano 1</t>
        </is>
      </c>
      <c r="C105" s="26" t="inlineStr">
        <is>
          <t>Carro 153</t>
        </is>
      </c>
      <c r="D105" s="33" t="inlineStr">
        <is>
          <t>Sótano 1</t>
        </is>
      </c>
      <c r="E105" s="27" t="n">
        <v>9.9</v>
      </c>
      <c r="F105" s="28" t="n">
        <v>0.001452</v>
      </c>
      <c r="G105" s="28" t="n">
        <v>0.00079</v>
      </c>
      <c r="H105" s="23" t="inlineStr">
        <is>
          <t>280-215046</t>
        </is>
      </c>
      <c r="I105" s="26">
        <f>IF(H105="","PENDIENTE",IF(LEFT(H105,10)="280-21XXXX","REVISAR","CONFIRMADO"))</f>
        <v/>
      </c>
    </row>
    <row r="106">
      <c r="B106" s="6" t="inlineStr">
        <is>
          <t>Carro Sótano 1</t>
        </is>
      </c>
      <c r="C106" s="21" t="inlineStr">
        <is>
          <t>Carro 154</t>
        </is>
      </c>
      <c r="D106" s="6" t="inlineStr">
        <is>
          <t>Sótano 1</t>
        </is>
      </c>
      <c r="E106" s="22" t="n">
        <v>9.9</v>
      </c>
      <c r="F106" s="14" t="n">
        <v>0.001452</v>
      </c>
      <c r="G106" s="14" t="n">
        <v>0.00079</v>
      </c>
      <c r="H106" s="23" t="inlineStr">
        <is>
          <t>280-215047</t>
        </is>
      </c>
      <c r="I106" s="24">
        <f>IF(H106="","PENDIENTE",IF(LEFT(H106,10)="280-21XXXX","REVISAR","CONFIRMADO"))</f>
        <v/>
      </c>
    </row>
    <row r="107">
      <c r="B107" s="33" t="inlineStr">
        <is>
          <t>Carro Sótano 1</t>
        </is>
      </c>
      <c r="C107" s="26" t="inlineStr">
        <is>
          <t>Carro 172</t>
        </is>
      </c>
      <c r="D107" s="33" t="inlineStr">
        <is>
          <t>Sótano 1</t>
        </is>
      </c>
      <c r="E107" s="27" t="n">
        <v>9.9</v>
      </c>
      <c r="F107" s="28" t="n">
        <v>0.001452</v>
      </c>
      <c r="G107" s="28" t="n">
        <v>0.00079</v>
      </c>
      <c r="H107" s="23" t="inlineStr">
        <is>
          <t>280-215048</t>
        </is>
      </c>
      <c r="I107" s="26">
        <f>IF(H107="","PENDIENTE",IF(LEFT(H107,10)="280-21XXXX","REVISAR","CONFIRMADO"))</f>
        <v/>
      </c>
    </row>
    <row r="108">
      <c r="B108" s="6" t="inlineStr">
        <is>
          <t>Carro Sótano 1</t>
        </is>
      </c>
      <c r="C108" s="21" t="inlineStr">
        <is>
          <t>Carro 173</t>
        </is>
      </c>
      <c r="D108" s="6" t="inlineStr">
        <is>
          <t>Sótano 1</t>
        </is>
      </c>
      <c r="E108" s="22" t="n">
        <v>9.9</v>
      </c>
      <c r="F108" s="14" t="n">
        <v>0.001452</v>
      </c>
      <c r="G108" s="14" t="n">
        <v>0.00079</v>
      </c>
      <c r="H108" s="23" t="inlineStr">
        <is>
          <t>280-215049</t>
        </is>
      </c>
      <c r="I108" s="24">
        <f>IF(H108="","PENDIENTE",IF(LEFT(H108,10)="280-21XXXX","REVISAR","CONFIRMADO"))</f>
        <v/>
      </c>
    </row>
    <row r="109">
      <c r="B109" s="33" t="inlineStr">
        <is>
          <t>Carro Sótano 1</t>
        </is>
      </c>
      <c r="C109" s="26" t="inlineStr">
        <is>
          <t>Carro 174</t>
        </is>
      </c>
      <c r="D109" s="33" t="inlineStr">
        <is>
          <t>Sótano 1</t>
        </is>
      </c>
      <c r="E109" s="27" t="n">
        <v>9.9</v>
      </c>
      <c r="F109" s="28" t="n">
        <v>0.001452</v>
      </c>
      <c r="G109" s="28" t="n">
        <v>0.00079</v>
      </c>
      <c r="H109" s="23" t="inlineStr">
        <is>
          <t>280-215050</t>
        </is>
      </c>
      <c r="I109" s="26">
        <f>IF(H109="","PENDIENTE",IF(LEFT(H109,10)="280-21XXXX","REVISAR","CONFIRMADO"))</f>
        <v/>
      </c>
    </row>
    <row r="110">
      <c r="B110" s="6" t="inlineStr">
        <is>
          <t>Carro Sótano 1</t>
        </is>
      </c>
      <c r="C110" s="21" t="inlineStr">
        <is>
          <t>Carro 175</t>
        </is>
      </c>
      <c r="D110" s="6" t="inlineStr">
        <is>
          <t>Sótano 1</t>
        </is>
      </c>
      <c r="E110" s="22" t="n">
        <v>9.9</v>
      </c>
      <c r="F110" s="14" t="n">
        <v>0.001452</v>
      </c>
      <c r="G110" s="14" t="n">
        <v>0.00079</v>
      </c>
      <c r="H110" s="23" t="inlineStr">
        <is>
          <t>280-215051</t>
        </is>
      </c>
      <c r="I110" s="24">
        <f>IF(H110="","PENDIENTE",IF(LEFT(H110,10)="280-21XXXX","REVISAR","CONFIRMADO"))</f>
        <v/>
      </c>
    </row>
    <row r="111">
      <c r="B111" s="33" t="inlineStr">
        <is>
          <t>Carro Sótano 1</t>
        </is>
      </c>
      <c r="C111" s="26" t="inlineStr">
        <is>
          <t>Carro 176</t>
        </is>
      </c>
      <c r="D111" s="33" t="inlineStr">
        <is>
          <t>Sótano 1</t>
        </is>
      </c>
      <c r="E111" s="27" t="n">
        <v>9.9</v>
      </c>
      <c r="F111" s="28" t="n">
        <v>0.001452</v>
      </c>
      <c r="G111" s="28" t="n">
        <v>0.00079</v>
      </c>
      <c r="H111" s="23" t="inlineStr">
        <is>
          <t>280-215052</t>
        </is>
      </c>
      <c r="I111" s="26">
        <f>IF(H111="","PENDIENTE",IF(LEFT(H111,10)="280-21XXXX","REVISAR","CONFIRMADO"))</f>
        <v/>
      </c>
    </row>
    <row r="112">
      <c r="B112" s="6" t="inlineStr">
        <is>
          <t>Carro Sótano 1</t>
        </is>
      </c>
      <c r="C112" s="21" t="inlineStr">
        <is>
          <t>Carro 177</t>
        </is>
      </c>
      <c r="D112" s="6" t="inlineStr">
        <is>
          <t>Sótano 1</t>
        </is>
      </c>
      <c r="E112" s="22" t="n">
        <v>9.9</v>
      </c>
      <c r="F112" s="14" t="n">
        <v>0.001452</v>
      </c>
      <c r="G112" s="14" t="n">
        <v>0.00079</v>
      </c>
      <c r="H112" s="23" t="inlineStr">
        <is>
          <t>280-215053</t>
        </is>
      </c>
      <c r="I112" s="24">
        <f>IF(H112="","PENDIENTE",IF(LEFT(H112,10)="280-21XXXX","REVISAR","CONFIRMADO"))</f>
        <v/>
      </c>
    </row>
    <row r="113">
      <c r="B113" s="33" t="inlineStr">
        <is>
          <t>Carro Sótano 1</t>
        </is>
      </c>
      <c r="C113" s="26" t="inlineStr">
        <is>
          <t>Carro 178</t>
        </is>
      </c>
      <c r="D113" s="33" t="inlineStr">
        <is>
          <t>Sótano 1</t>
        </is>
      </c>
      <c r="E113" s="27" t="n">
        <v>9.9</v>
      </c>
      <c r="F113" s="28" t="n">
        <v>0.001452</v>
      </c>
      <c r="G113" s="28" t="n">
        <v>0.00079</v>
      </c>
      <c r="H113" s="23" t="inlineStr">
        <is>
          <t>280-215054</t>
        </is>
      </c>
      <c r="I113" s="26">
        <f>IF(H113="","PENDIENTE",IF(LEFT(H113,10)="280-21XXXX","REVISAR","CONFIRMADO"))</f>
        <v/>
      </c>
    </row>
    <row r="114">
      <c r="B114" s="6" t="inlineStr">
        <is>
          <t>Carro Sótano 1</t>
        </is>
      </c>
      <c r="C114" s="21" t="inlineStr">
        <is>
          <t>Carro 179</t>
        </is>
      </c>
      <c r="D114" s="6" t="inlineStr">
        <is>
          <t>Sótano 1</t>
        </is>
      </c>
      <c r="E114" s="22" t="n">
        <v>9.9</v>
      </c>
      <c r="F114" s="14" t="n">
        <v>0.001452</v>
      </c>
      <c r="G114" s="14" t="n">
        <v>0.00079</v>
      </c>
      <c r="H114" s="23" t="inlineStr">
        <is>
          <t>280-215055</t>
        </is>
      </c>
      <c r="I114" s="24">
        <f>IF(H114="","PENDIENTE",IF(LEFT(H114,10)="280-21XXXX","REVISAR","CONFIRMADO"))</f>
        <v/>
      </c>
    </row>
    <row r="115">
      <c r="B115" s="33" t="inlineStr">
        <is>
          <t>Carro Sótano 1</t>
        </is>
      </c>
      <c r="C115" s="26" t="inlineStr">
        <is>
          <t>Carro 180</t>
        </is>
      </c>
      <c r="D115" s="33" t="inlineStr">
        <is>
          <t>Sótano 1</t>
        </is>
      </c>
      <c r="E115" s="27" t="n">
        <v>9.9</v>
      </c>
      <c r="F115" s="28" t="n">
        <v>0.001452</v>
      </c>
      <c r="G115" s="28" t="n">
        <v>0.00079</v>
      </c>
      <c r="H115" s="23" t="inlineStr">
        <is>
          <t>280-215056</t>
        </is>
      </c>
      <c r="I115" s="26">
        <f>IF(H115="","PENDIENTE",IF(LEFT(H115,10)="280-21XXXX","REVISAR","CONFIRMADO"))</f>
        <v/>
      </c>
    </row>
    <row r="116">
      <c r="B116" s="6" t="inlineStr">
        <is>
          <t>Moto Privada (Etapa I)</t>
        </is>
      </c>
      <c r="C116" s="21" t="inlineStr">
        <is>
          <t>Moto 45</t>
        </is>
      </c>
      <c r="D116" s="6" t="inlineStr">
        <is>
          <t>Patio de Motos</t>
        </is>
      </c>
      <c r="E116" s="22" t="n">
        <v>1.6</v>
      </c>
      <c r="F116" s="14" t="n">
        <v>0.000235</v>
      </c>
      <c r="G116" s="14" t="n">
        <v>0.00013</v>
      </c>
      <c r="H116" s="23" t="inlineStr">
        <is>
          <t>280-215057</t>
        </is>
      </c>
      <c r="I116" s="24">
        <f>IF(H116="","PENDIENTE",IF(LEFT(H116,10)="280-21XXXX","REVISAR","CONFIRMADO"))</f>
        <v/>
      </c>
    </row>
    <row r="117">
      <c r="B117" s="33" t="inlineStr">
        <is>
          <t>Moto Privada (Etapa I)</t>
        </is>
      </c>
      <c r="C117" s="26" t="inlineStr">
        <is>
          <t>Moto 46</t>
        </is>
      </c>
      <c r="D117" s="33" t="inlineStr">
        <is>
          <t>Patio de Motos</t>
        </is>
      </c>
      <c r="E117" s="27" t="n">
        <v>1.6</v>
      </c>
      <c r="F117" s="28" t="n">
        <v>0.000235</v>
      </c>
      <c r="G117" s="28" t="n">
        <v>0.00013</v>
      </c>
      <c r="H117" s="23" t="inlineStr">
        <is>
          <t>280-215058</t>
        </is>
      </c>
      <c r="I117" s="26">
        <f>IF(H117="","PENDIENTE",IF(LEFT(H117,10)="280-21XXXX","REVISAR","CONFIRMADO"))</f>
        <v/>
      </c>
    </row>
    <row r="118">
      <c r="B118" s="6" t="inlineStr">
        <is>
          <t>Moto Privada (Etapa I)</t>
        </is>
      </c>
      <c r="C118" s="21" t="inlineStr">
        <is>
          <t>Moto 47</t>
        </is>
      </c>
      <c r="D118" s="6" t="inlineStr">
        <is>
          <t>Patio de Motos</t>
        </is>
      </c>
      <c r="E118" s="22" t="n">
        <v>1.6</v>
      </c>
      <c r="F118" s="14" t="n">
        <v>0.000235</v>
      </c>
      <c r="G118" s="14" t="n">
        <v>0.00013</v>
      </c>
      <c r="H118" s="23" t="inlineStr">
        <is>
          <t>280-215059</t>
        </is>
      </c>
      <c r="I118" s="24">
        <f>IF(H118="","PENDIENTE",IF(LEFT(H118,10)="280-21XXXX","REVISAR","CONFIRMADO"))</f>
        <v/>
      </c>
    </row>
    <row r="119">
      <c r="B119" s="33" t="inlineStr">
        <is>
          <t>Moto Privada (Etapa I)</t>
        </is>
      </c>
      <c r="C119" s="26" t="inlineStr">
        <is>
          <t>Moto 48</t>
        </is>
      </c>
      <c r="D119" s="33" t="inlineStr">
        <is>
          <t>Patio de Motos</t>
        </is>
      </c>
      <c r="E119" s="27" t="n">
        <v>1.6</v>
      </c>
      <c r="F119" s="28" t="n">
        <v>0.000235</v>
      </c>
      <c r="G119" s="28" t="n">
        <v>0.00013</v>
      </c>
      <c r="H119" s="23" t="inlineStr">
        <is>
          <t>280-215060</t>
        </is>
      </c>
      <c r="I119" s="26">
        <f>IF(H119="","PENDIENTE",IF(LEFT(H119,10)="280-21XXXX","REVISAR","CONFIRMADO"))</f>
        <v/>
      </c>
    </row>
    <row r="120">
      <c r="B120" s="6" t="inlineStr">
        <is>
          <t>Moto Privada (Etapa I)</t>
        </is>
      </c>
      <c r="C120" s="21" t="inlineStr">
        <is>
          <t>Moto 49</t>
        </is>
      </c>
      <c r="D120" s="6" t="inlineStr">
        <is>
          <t>Patio de Motos</t>
        </is>
      </c>
      <c r="E120" s="22" t="n">
        <v>1.6</v>
      </c>
      <c r="F120" s="14" t="n">
        <v>0.000235</v>
      </c>
      <c r="G120" s="14" t="n">
        <v>0.00013</v>
      </c>
      <c r="H120" s="23" t="inlineStr">
        <is>
          <t>280-215061</t>
        </is>
      </c>
      <c r="I120" s="24">
        <f>IF(H120="","PENDIENTE",IF(LEFT(H120,10)="280-21XXXX","REVISAR","CONFIRMADO"))</f>
        <v/>
      </c>
    </row>
    <row r="121">
      <c r="B121" s="33" t="inlineStr">
        <is>
          <t>Moto Privada (Etapa I)</t>
        </is>
      </c>
      <c r="C121" s="26" t="inlineStr">
        <is>
          <t>Moto 50</t>
        </is>
      </c>
      <c r="D121" s="33" t="inlineStr">
        <is>
          <t>Patio de Motos</t>
        </is>
      </c>
      <c r="E121" s="27" t="n">
        <v>1.6</v>
      </c>
      <c r="F121" s="28" t="n">
        <v>0.000235</v>
      </c>
      <c r="G121" s="28" t="n">
        <v>0.00013</v>
      </c>
      <c r="H121" s="23" t="inlineStr">
        <is>
          <t>280-215062</t>
        </is>
      </c>
      <c r="I121" s="26">
        <f>IF(H121="","PENDIENTE",IF(LEFT(H121,10)="280-21XXXX","REVISAR","CONFIRMADO"))</f>
        <v/>
      </c>
    </row>
    <row r="122">
      <c r="B122" s="6" t="inlineStr">
        <is>
          <t>Moto Privada (Etapa I)</t>
        </is>
      </c>
      <c r="C122" s="21" t="inlineStr">
        <is>
          <t>Moto 51</t>
        </is>
      </c>
      <c r="D122" s="6" t="inlineStr">
        <is>
          <t>Patio de Motos</t>
        </is>
      </c>
      <c r="E122" s="22" t="n">
        <v>1.6</v>
      </c>
      <c r="F122" s="14" t="n">
        <v>0.000235</v>
      </c>
      <c r="G122" s="14" t="n">
        <v>0.00013</v>
      </c>
      <c r="H122" s="23" t="inlineStr">
        <is>
          <t>280-215063</t>
        </is>
      </c>
      <c r="I122" s="24">
        <f>IF(H122="","PENDIENTE",IF(LEFT(H122,10)="280-21XXXX","REVISAR","CONFIRMADO"))</f>
        <v/>
      </c>
    </row>
    <row r="123">
      <c r="B123" s="33" t="inlineStr">
        <is>
          <t>Moto Privada (Etapa I)</t>
        </is>
      </c>
      <c r="C123" s="26" t="inlineStr">
        <is>
          <t>Moto 52</t>
        </is>
      </c>
      <c r="D123" s="33" t="inlineStr">
        <is>
          <t>Patio de Motos</t>
        </is>
      </c>
      <c r="E123" s="27" t="n">
        <v>1.6</v>
      </c>
      <c r="F123" s="28" t="n">
        <v>0.000235</v>
      </c>
      <c r="G123" s="28" t="n">
        <v>0.00013</v>
      </c>
      <c r="H123" s="23" t="inlineStr">
        <is>
          <t>280-215064</t>
        </is>
      </c>
      <c r="I123" s="26">
        <f>IF(H123="","PENDIENTE",IF(LEFT(H123,10)="280-21XXXX","REVISAR","CONFIRMADO"))</f>
        <v/>
      </c>
    </row>
    <row r="124">
      <c r="B124" s="6" t="inlineStr">
        <is>
          <t>Moto Privada (Etapa I)</t>
        </is>
      </c>
      <c r="C124" s="21" t="inlineStr">
        <is>
          <t>Moto 53</t>
        </is>
      </c>
      <c r="D124" s="6" t="inlineStr">
        <is>
          <t>Patio de Motos</t>
        </is>
      </c>
      <c r="E124" s="22" t="n">
        <v>1.6</v>
      </c>
      <c r="F124" s="14" t="n">
        <v>0.000235</v>
      </c>
      <c r="G124" s="14" t="n">
        <v>0.00013</v>
      </c>
      <c r="H124" s="23" t="inlineStr">
        <is>
          <t>280-215065</t>
        </is>
      </c>
      <c r="I124" s="24">
        <f>IF(H124="","PENDIENTE",IF(LEFT(H124,10)="280-21XXXX","REVISAR","CONFIRMADO"))</f>
        <v/>
      </c>
    </row>
    <row r="125">
      <c r="B125" s="33" t="inlineStr">
        <is>
          <t>Moto Privada (Etapa I)</t>
        </is>
      </c>
      <c r="C125" s="26" t="inlineStr">
        <is>
          <t>Moto 54</t>
        </is>
      </c>
      <c r="D125" s="33" t="inlineStr">
        <is>
          <t>Patio de Motos</t>
        </is>
      </c>
      <c r="E125" s="27" t="n">
        <v>1.6</v>
      </c>
      <c r="F125" s="28" t="n">
        <v>0.000235</v>
      </c>
      <c r="G125" s="28" t="n">
        <v>0.00013</v>
      </c>
      <c r="H125" s="23" t="inlineStr">
        <is>
          <t>280-215066</t>
        </is>
      </c>
      <c r="I125" s="26">
        <f>IF(H125="","PENDIENTE",IF(LEFT(H125,10)="280-21XXXX","REVISAR","CONFIRMADO"))</f>
        <v/>
      </c>
    </row>
    <row r="126">
      <c r="B126" s="6" t="inlineStr">
        <is>
          <t>Moto Privada (Etapa I)</t>
        </is>
      </c>
      <c r="C126" s="21" t="inlineStr">
        <is>
          <t>Moto 77</t>
        </is>
      </c>
      <c r="D126" s="6" t="inlineStr">
        <is>
          <t>Patio de Motos</t>
        </is>
      </c>
      <c r="E126" s="22" t="n">
        <v>1.6</v>
      </c>
      <c r="F126" s="14" t="n">
        <v>0.000235</v>
      </c>
      <c r="G126" s="14" t="n">
        <v>0.00013</v>
      </c>
      <c r="H126" s="23" t="inlineStr">
        <is>
          <t>280-215067</t>
        </is>
      </c>
      <c r="I126" s="24">
        <f>IF(H126="","PENDIENTE",IF(LEFT(H126,10)="280-21XXXX","REVISAR","CONFIRMADO"))</f>
        <v/>
      </c>
    </row>
    <row r="127">
      <c r="B127" s="33" t="inlineStr">
        <is>
          <t>Moto Privada (Etapa I)</t>
        </is>
      </c>
      <c r="C127" s="26" t="inlineStr">
        <is>
          <t>Moto 78</t>
        </is>
      </c>
      <c r="D127" s="33" t="inlineStr">
        <is>
          <t>Patio de Motos</t>
        </is>
      </c>
      <c r="E127" s="27" t="n">
        <v>1.6</v>
      </c>
      <c r="F127" s="28" t="n">
        <v>0.000235</v>
      </c>
      <c r="G127" s="28" t="n">
        <v>0.00013</v>
      </c>
      <c r="H127" s="23" t="inlineStr">
        <is>
          <t>280-215068</t>
        </is>
      </c>
      <c r="I127" s="26">
        <f>IF(H127="","PENDIENTE",IF(LEFT(H127,10)="280-21XXXX","REVISAR","CONFIRMADO"))</f>
        <v/>
      </c>
    </row>
    <row r="128">
      <c r="B128" s="6" t="inlineStr">
        <is>
          <t>Moto Privada (Etapa I)</t>
        </is>
      </c>
      <c r="C128" s="21" t="inlineStr">
        <is>
          <t>Moto 79</t>
        </is>
      </c>
      <c r="D128" s="6" t="inlineStr">
        <is>
          <t>Patio de Motos</t>
        </is>
      </c>
      <c r="E128" s="22" t="n">
        <v>1.6</v>
      </c>
      <c r="F128" s="14" t="n">
        <v>0.000235</v>
      </c>
      <c r="G128" s="14" t="n">
        <v>0.00013</v>
      </c>
      <c r="H128" s="23" t="inlineStr">
        <is>
          <t>280-215069</t>
        </is>
      </c>
      <c r="I128" s="24">
        <f>IF(H128="","PENDIENTE",IF(LEFT(H128,10)="280-21XXXX","REVISAR","CONFIRMADO"))</f>
        <v/>
      </c>
    </row>
    <row r="129">
      <c r="B129" s="33" t="inlineStr">
        <is>
          <t>Moto Privada (Etapa I)</t>
        </is>
      </c>
      <c r="C129" s="26" t="inlineStr">
        <is>
          <t>Moto 80</t>
        </is>
      </c>
      <c r="D129" s="33" t="inlineStr">
        <is>
          <t>Patio de Motos</t>
        </is>
      </c>
      <c r="E129" s="27" t="n">
        <v>1.6</v>
      </c>
      <c r="F129" s="28" t="n">
        <v>0.000235</v>
      </c>
      <c r="G129" s="28" t="n">
        <v>0.00013</v>
      </c>
      <c r="H129" s="23" t="inlineStr">
        <is>
          <t>280-215070</t>
        </is>
      </c>
      <c r="I129" s="26">
        <f>IF(H129="","PENDIENTE",IF(LEFT(H129,10)="280-21XXXX","REVISAR","CONFIRMADO"))</f>
        <v/>
      </c>
    </row>
    <row r="130">
      <c r="B130" s="6" t="inlineStr">
        <is>
          <t>Moto Privada (Etapa I)</t>
        </is>
      </c>
      <c r="C130" s="21" t="inlineStr">
        <is>
          <t>Moto 81</t>
        </is>
      </c>
      <c r="D130" s="6" t="inlineStr">
        <is>
          <t>Patio de Motos</t>
        </is>
      </c>
      <c r="E130" s="22" t="n">
        <v>1.6</v>
      </c>
      <c r="F130" s="14" t="n">
        <v>0.000235</v>
      </c>
      <c r="G130" s="14" t="n">
        <v>0.00013</v>
      </c>
      <c r="H130" s="23" t="inlineStr">
        <is>
          <t>280-215071</t>
        </is>
      </c>
      <c r="I130" s="24">
        <f>IF(H130="","PENDIENTE",IF(LEFT(H130,10)="280-21XXXX","REVISAR","CONFIRMADO"))</f>
        <v/>
      </c>
    </row>
    <row r="131">
      <c r="B131" s="33" t="inlineStr">
        <is>
          <t>Moto Privada (Etapa I)</t>
        </is>
      </c>
      <c r="C131" s="26" t="inlineStr">
        <is>
          <t>Moto 82</t>
        </is>
      </c>
      <c r="D131" s="33" t="inlineStr">
        <is>
          <t>Patio de Motos</t>
        </is>
      </c>
      <c r="E131" s="27" t="n">
        <v>1.6</v>
      </c>
      <c r="F131" s="28" t="n">
        <v>0.000235</v>
      </c>
      <c r="G131" s="28" t="n">
        <v>0.00013</v>
      </c>
      <c r="H131" s="23" t="inlineStr">
        <is>
          <t>280-215072</t>
        </is>
      </c>
      <c r="I131" s="26">
        <f>IF(H131="","PENDIENTE",IF(LEFT(H131,10)="280-21XXXX","REVISAR","CONFIRMADO"))</f>
        <v/>
      </c>
    </row>
    <row r="132">
      <c r="B132" s="6" t="inlineStr">
        <is>
          <t>Moto Privada (Etapa I)</t>
        </is>
      </c>
      <c r="C132" s="21" t="inlineStr">
        <is>
          <t>Moto 83</t>
        </is>
      </c>
      <c r="D132" s="6" t="inlineStr">
        <is>
          <t>Patio de Motos</t>
        </is>
      </c>
      <c r="E132" s="22" t="n">
        <v>1.6</v>
      </c>
      <c r="F132" s="14" t="n">
        <v>0.000235</v>
      </c>
      <c r="G132" s="14" t="n">
        <v>0.00013</v>
      </c>
      <c r="H132" s="23" t="inlineStr">
        <is>
          <t>280-215073</t>
        </is>
      </c>
      <c r="I132" s="24">
        <f>IF(H132="","PENDIENTE",IF(LEFT(H132,10)="280-21XXXX","REVISAR","CONFIRMADO"))</f>
        <v/>
      </c>
    </row>
    <row r="133">
      <c r="B133" s="33" t="inlineStr">
        <is>
          <t>Moto Privada (Etapa I)</t>
        </is>
      </c>
      <c r="C133" s="26" t="inlineStr">
        <is>
          <t>Moto 84</t>
        </is>
      </c>
      <c r="D133" s="33" t="inlineStr">
        <is>
          <t>Patio de Motos</t>
        </is>
      </c>
      <c r="E133" s="27" t="n">
        <v>1.6</v>
      </c>
      <c r="F133" s="28" t="n">
        <v>0.000235</v>
      </c>
      <c r="G133" s="28" t="n">
        <v>0.00013</v>
      </c>
      <c r="H133" s="23" t="inlineStr">
        <is>
          <t>280-215074</t>
        </is>
      </c>
      <c r="I133" s="26">
        <f>IF(H133="","PENDIENTE",IF(LEFT(H133,10)="280-21XXXX","REVISAR","CONFIRMADO"))</f>
        <v/>
      </c>
    </row>
    <row r="134">
      <c r="B134" s="6" t="inlineStr">
        <is>
          <t>Moto Privada (Etapa I)</t>
        </is>
      </c>
      <c r="C134" s="21" t="inlineStr">
        <is>
          <t>Moto 85</t>
        </is>
      </c>
      <c r="D134" s="6" t="inlineStr">
        <is>
          <t>Patio de Motos</t>
        </is>
      </c>
      <c r="E134" s="22" t="n">
        <v>1.6</v>
      </c>
      <c r="F134" s="14" t="n">
        <v>0.000235</v>
      </c>
      <c r="G134" s="14" t="n">
        <v>0.00013</v>
      </c>
      <c r="H134" s="23" t="inlineStr">
        <is>
          <t>280-215075</t>
        </is>
      </c>
      <c r="I134" s="24">
        <f>IF(H134="","PENDIENTE",IF(LEFT(H134,10)="280-21XXXX","REVISAR","CONFIRMADO"))</f>
        <v/>
      </c>
    </row>
    <row r="135">
      <c r="B135" s="33" t="inlineStr">
        <is>
          <t>Moto Privada (Etapa I)</t>
        </is>
      </c>
      <c r="C135" s="26" t="inlineStr">
        <is>
          <t>Moto 86</t>
        </is>
      </c>
      <c r="D135" s="33" t="inlineStr">
        <is>
          <t>Patio de Motos</t>
        </is>
      </c>
      <c r="E135" s="27" t="n">
        <v>1.6</v>
      </c>
      <c r="F135" s="28" t="n">
        <v>0.000235</v>
      </c>
      <c r="G135" s="28" t="n">
        <v>0.00013</v>
      </c>
      <c r="H135" s="23" t="inlineStr">
        <is>
          <t>280-215076</t>
        </is>
      </c>
      <c r="I135" s="26">
        <f>IF(H135="","PENDIENTE",IF(LEFT(H135,10)="280-21XXXX","REVISAR","CONFIRMADO"))</f>
        <v/>
      </c>
    </row>
    <row r="136">
      <c r="B136" s="6" t="inlineStr">
        <is>
          <t>Moto Privada (Etapa I)</t>
        </is>
      </c>
      <c r="C136" s="21" t="inlineStr">
        <is>
          <t>Moto 87</t>
        </is>
      </c>
      <c r="D136" s="6" t="inlineStr">
        <is>
          <t>Patio de Motos</t>
        </is>
      </c>
      <c r="E136" s="22" t="n">
        <v>1.6</v>
      </c>
      <c r="F136" s="14" t="n">
        <v>0.000235</v>
      </c>
      <c r="G136" s="14" t="n">
        <v>0.00013</v>
      </c>
      <c r="H136" s="23" t="inlineStr">
        <is>
          <t>280-215077</t>
        </is>
      </c>
      <c r="I136" s="24">
        <f>IF(H136="","PENDIENTE",IF(LEFT(H136,10)="280-21XXXX","REVISAR","CONFIRMADO"))</f>
        <v/>
      </c>
    </row>
    <row r="137">
      <c r="B137" s="33" t="inlineStr">
        <is>
          <t>Moto Privada (Etapa I)</t>
        </is>
      </c>
      <c r="C137" s="26" t="inlineStr">
        <is>
          <t>Moto 88</t>
        </is>
      </c>
      <c r="D137" s="33" t="inlineStr">
        <is>
          <t>Patio de Motos</t>
        </is>
      </c>
      <c r="E137" s="27" t="n">
        <v>1.6</v>
      </c>
      <c r="F137" s="28" t="n">
        <v>0.000235</v>
      </c>
      <c r="G137" s="28" t="n">
        <v>0.00013</v>
      </c>
      <c r="H137" s="23" t="inlineStr">
        <is>
          <t>280-215078</t>
        </is>
      </c>
      <c r="I137" s="26">
        <f>IF(H137="","PENDIENTE",IF(LEFT(H137,10)="280-21XXXX","REVISAR","CONFIRMADO"))</f>
        <v/>
      </c>
    </row>
    <row r="138">
      <c r="B138" s="6" t="inlineStr">
        <is>
          <t>Moto Privada (Etapa I)</t>
        </is>
      </c>
      <c r="C138" s="21" t="inlineStr">
        <is>
          <t>Moto 89</t>
        </is>
      </c>
      <c r="D138" s="6" t="inlineStr">
        <is>
          <t>Patio de Motos</t>
        </is>
      </c>
      <c r="E138" s="22" t="n">
        <v>1.6</v>
      </c>
      <c r="F138" s="14" t="n">
        <v>0.000235</v>
      </c>
      <c r="G138" s="14" t="n">
        <v>0.00013</v>
      </c>
      <c r="H138" s="23" t="inlineStr">
        <is>
          <t>280-215079</t>
        </is>
      </c>
      <c r="I138" s="24">
        <f>IF(H138="","PENDIENTE",IF(LEFT(H138,10)="280-21XXXX","REVISAR","CONFIRMADO"))</f>
        <v/>
      </c>
    </row>
    <row r="139">
      <c r="B139" s="33" t="inlineStr">
        <is>
          <t>Moto Privada (Etapa I)</t>
        </is>
      </c>
      <c r="C139" s="26" t="inlineStr">
        <is>
          <t>Moto 90</t>
        </is>
      </c>
      <c r="D139" s="33" t="inlineStr">
        <is>
          <t>Patio de Motos</t>
        </is>
      </c>
      <c r="E139" s="27" t="n">
        <v>1.6</v>
      </c>
      <c r="F139" s="28" t="n">
        <v>0.000235</v>
      </c>
      <c r="G139" s="28" t="n">
        <v>0.00013</v>
      </c>
      <c r="H139" s="23" t="inlineStr">
        <is>
          <t>280-215080</t>
        </is>
      </c>
      <c r="I139" s="26">
        <f>IF(H139="","PENDIENTE",IF(LEFT(H139,10)="280-21XXXX","REVISAR","CONFIRMADO"))</f>
        <v/>
      </c>
    </row>
    <row r="140">
      <c r="B140" s="6" t="inlineStr">
        <is>
          <t>Moto Privada (Etapa I)</t>
        </is>
      </c>
      <c r="C140" s="21" t="inlineStr">
        <is>
          <t>Moto 91</t>
        </is>
      </c>
      <c r="D140" s="6" t="inlineStr">
        <is>
          <t>Patio de Motos</t>
        </is>
      </c>
      <c r="E140" s="22" t="n">
        <v>1.6</v>
      </c>
      <c r="F140" s="14" t="n">
        <v>0.000235</v>
      </c>
      <c r="G140" s="14" t="n">
        <v>0.00013</v>
      </c>
      <c r="H140" s="23" t="inlineStr">
        <is>
          <t>280-215081</t>
        </is>
      </c>
      <c r="I140" s="24">
        <f>IF(H140="","PENDIENTE",IF(LEFT(H140,10)="280-21XXXX","REVISAR","CONFIRMADO"))</f>
        <v/>
      </c>
    </row>
    <row r="141">
      <c r="B141" s="33" t="inlineStr">
        <is>
          <t>Moto Privada (Etapa I)</t>
        </is>
      </c>
      <c r="C141" s="26" t="inlineStr">
        <is>
          <t>Moto 92</t>
        </is>
      </c>
      <c r="D141" s="33" t="inlineStr">
        <is>
          <t>Patio de Motos</t>
        </is>
      </c>
      <c r="E141" s="27" t="n">
        <v>1.6</v>
      </c>
      <c r="F141" s="28" t="n">
        <v>0.000235</v>
      </c>
      <c r="G141" s="28" t="n">
        <v>0.00013</v>
      </c>
      <c r="H141" s="23" t="inlineStr">
        <is>
          <t>280-215082</t>
        </is>
      </c>
      <c r="I141" s="26">
        <f>IF(H141="","PENDIENTE",IF(LEFT(H141,10)="280-21XXXX","REVISAR","CONFIRMADO"))</f>
        <v/>
      </c>
    </row>
    <row r="142">
      <c r="B142" s="6" t="inlineStr">
        <is>
          <t>Moto Privada (Etapa I)</t>
        </is>
      </c>
      <c r="C142" s="21" t="inlineStr">
        <is>
          <t>Moto 93</t>
        </is>
      </c>
      <c r="D142" s="6" t="inlineStr">
        <is>
          <t>Patio de Motos</t>
        </is>
      </c>
      <c r="E142" s="22" t="n">
        <v>1.6</v>
      </c>
      <c r="F142" s="14" t="n">
        <v>0.000235</v>
      </c>
      <c r="G142" s="14" t="n">
        <v>0.00013</v>
      </c>
      <c r="H142" s="23" t="inlineStr">
        <is>
          <t>280-215083</t>
        </is>
      </c>
      <c r="I142" s="24">
        <f>IF(H142="","PENDIENTE",IF(LEFT(H142,10)="280-21XXXX","REVISAR","CONFIRMADO"))</f>
        <v/>
      </c>
    </row>
    <row r="143">
      <c r="B143" s="33" t="inlineStr">
        <is>
          <t>Moto Privada (Etapa I)</t>
        </is>
      </c>
      <c r="C143" s="26" t="inlineStr">
        <is>
          <t>Moto 94</t>
        </is>
      </c>
      <c r="D143" s="33" t="inlineStr">
        <is>
          <t>Patio de Motos</t>
        </is>
      </c>
      <c r="E143" s="27" t="n">
        <v>1.6</v>
      </c>
      <c r="F143" s="28" t="n">
        <v>0.000235</v>
      </c>
      <c r="G143" s="28" t="n">
        <v>0.00013</v>
      </c>
      <c r="H143" s="23" t="inlineStr">
        <is>
          <t>280-215084</t>
        </is>
      </c>
      <c r="I143" s="26">
        <f>IF(H143="","PENDIENTE",IF(LEFT(H143,10)="280-21XXXX","REVISAR","CONFIRMADO"))</f>
        <v/>
      </c>
    </row>
    <row r="144">
      <c r="B144" s="6" t="inlineStr">
        <is>
          <t>Moto Privada (Etapa I)</t>
        </is>
      </c>
      <c r="C144" s="21" t="inlineStr">
        <is>
          <t>Moto 95</t>
        </is>
      </c>
      <c r="D144" s="6" t="inlineStr">
        <is>
          <t>Patio de Motos</t>
        </is>
      </c>
      <c r="E144" s="22" t="n">
        <v>1.6</v>
      </c>
      <c r="F144" s="14" t="n">
        <v>0.000235</v>
      </c>
      <c r="G144" s="14" t="n">
        <v>0.00013</v>
      </c>
      <c r="H144" s="23" t="inlineStr">
        <is>
          <t>280-215085</t>
        </is>
      </c>
      <c r="I144" s="24">
        <f>IF(H144="","PENDIENTE",IF(LEFT(H144,10)="280-21XXXX","REVISAR","CONFIRMADO"))</f>
        <v/>
      </c>
    </row>
    <row r="145">
      <c r="B145" s="33" t="inlineStr">
        <is>
          <t>Moto Privada (Etapa I)</t>
        </is>
      </c>
      <c r="C145" s="26" t="inlineStr">
        <is>
          <t>Moto 96</t>
        </is>
      </c>
      <c r="D145" s="33" t="inlineStr">
        <is>
          <t>Patio de Motos</t>
        </is>
      </c>
      <c r="E145" s="27" t="n">
        <v>1.6</v>
      </c>
      <c r="F145" s="28" t="n">
        <v>0.000235</v>
      </c>
      <c r="G145" s="28" t="n">
        <v>0.00013</v>
      </c>
      <c r="H145" s="23" t="inlineStr">
        <is>
          <t>280-215086</t>
        </is>
      </c>
      <c r="I145" s="26">
        <f>IF(H145="","PENDIENTE",IF(LEFT(H145,10)="280-21XXXX","REVISAR","CONFIRMADO"))</f>
        <v/>
      </c>
    </row>
    <row r="146">
      <c r="B146" s="6" t="inlineStr">
        <is>
          <t>Moto Privada (Etapa I)</t>
        </is>
      </c>
      <c r="C146" s="21" t="inlineStr">
        <is>
          <t>Moto 97</t>
        </is>
      </c>
      <c r="D146" s="6" t="inlineStr">
        <is>
          <t>Patio de Motos</t>
        </is>
      </c>
      <c r="E146" s="22" t="n">
        <v>1.6</v>
      </c>
      <c r="F146" s="14" t="n">
        <v>0.000235</v>
      </c>
      <c r="G146" s="14" t="n">
        <v>0.00013</v>
      </c>
      <c r="H146" s="23" t="inlineStr">
        <is>
          <t>280-215087</t>
        </is>
      </c>
      <c r="I146" s="24">
        <f>IF(H146="","PENDIENTE",IF(LEFT(H146,10)="280-21XXXX","REVISAR","CONFIRMADO"))</f>
        <v/>
      </c>
    </row>
    <row r="147">
      <c r="B147" s="33" t="inlineStr">
        <is>
          <t>Moto Privada (Etapa I)</t>
        </is>
      </c>
      <c r="C147" s="26" t="inlineStr">
        <is>
          <t>Moto 98</t>
        </is>
      </c>
      <c r="D147" s="33" t="inlineStr">
        <is>
          <t>Patio de Motos</t>
        </is>
      </c>
      <c r="E147" s="27" t="n">
        <v>1.6</v>
      </c>
      <c r="F147" s="28" t="n">
        <v>0.000235</v>
      </c>
      <c r="G147" s="28" t="n">
        <v>0.00013</v>
      </c>
      <c r="H147" s="23" t="inlineStr">
        <is>
          <t>280-215088</t>
        </is>
      </c>
      <c r="I147" s="26">
        <f>IF(H147="","PENDIENTE",IF(LEFT(H147,10)="280-21XXXX","REVISAR","CONFIRMADO"))</f>
        <v/>
      </c>
    </row>
    <row r="148">
      <c r="B148" s="6" t="inlineStr">
        <is>
          <t>Moto Privada (Etapa I)</t>
        </is>
      </c>
      <c r="C148" s="21" t="inlineStr">
        <is>
          <t>Moto 99</t>
        </is>
      </c>
      <c r="D148" s="6" t="inlineStr">
        <is>
          <t>Patio de Motos</t>
        </is>
      </c>
      <c r="E148" s="22" t="n">
        <v>1.6</v>
      </c>
      <c r="F148" s="14" t="n">
        <v>0.000235</v>
      </c>
      <c r="G148" s="14" t="n">
        <v>0.00013</v>
      </c>
      <c r="H148" s="23" t="inlineStr">
        <is>
          <t>280-215089</t>
        </is>
      </c>
      <c r="I148" s="24">
        <f>IF(H148="","PENDIENTE",IF(LEFT(H148,10)="280-21XXXX","REVISAR","CONFIRMADO"))</f>
        <v/>
      </c>
    </row>
    <row r="149">
      <c r="B149" s="33" t="inlineStr">
        <is>
          <t>Moto Privada (Etapa I)</t>
        </is>
      </c>
      <c r="C149" s="26" t="inlineStr">
        <is>
          <t>Moto 100</t>
        </is>
      </c>
      <c r="D149" s="33" t="inlineStr">
        <is>
          <t>Patio de Motos</t>
        </is>
      </c>
      <c r="E149" s="27" t="n">
        <v>1.6</v>
      </c>
      <c r="F149" s="28" t="n">
        <v>0.000235</v>
      </c>
      <c r="G149" s="28" t="n">
        <v>0.00013</v>
      </c>
      <c r="H149" s="23" t="inlineStr">
        <is>
          <t>280-215090</t>
        </is>
      </c>
      <c r="I149" s="26">
        <f>IF(H149="","PENDIENTE",IF(LEFT(H149,10)="280-21XXXX","REVISAR","CONFIRMADO"))</f>
        <v/>
      </c>
    </row>
    <row r="150">
      <c r="B150" s="6" t="inlineStr">
        <is>
          <t>Moto Privada (Etapa I)</t>
        </is>
      </c>
      <c r="C150" s="21" t="inlineStr">
        <is>
          <t>Moto 101</t>
        </is>
      </c>
      <c r="D150" s="6" t="inlineStr">
        <is>
          <t>Patio de Motos</t>
        </is>
      </c>
      <c r="E150" s="22" t="n">
        <v>1.6</v>
      </c>
      <c r="F150" s="14" t="n">
        <v>0.000235</v>
      </c>
      <c r="G150" s="14" t="n">
        <v>0.00013</v>
      </c>
      <c r="H150" s="23" t="inlineStr">
        <is>
          <t>280-215091</t>
        </is>
      </c>
      <c r="I150" s="24">
        <f>IF(H150="","PENDIENTE",IF(LEFT(H150,10)="280-21XXXX","REVISAR","CONFIRMADO"))</f>
        <v/>
      </c>
    </row>
    <row r="151">
      <c r="B151" s="33" t="inlineStr">
        <is>
          <t>Moto Privada (Etapa I)</t>
        </is>
      </c>
      <c r="C151" s="26" t="inlineStr">
        <is>
          <t>Moto 102</t>
        </is>
      </c>
      <c r="D151" s="33" t="inlineStr">
        <is>
          <t>Patio de Motos</t>
        </is>
      </c>
      <c r="E151" s="27" t="n">
        <v>1.6</v>
      </c>
      <c r="F151" s="28" t="n">
        <v>0.000235</v>
      </c>
      <c r="G151" s="28" t="n">
        <v>0.00013</v>
      </c>
      <c r="H151" s="23" t="inlineStr">
        <is>
          <t>280-215092</t>
        </is>
      </c>
      <c r="I151" s="26">
        <f>IF(H151="","PENDIENTE",IF(LEFT(H151,10)="280-21XXXX","REVISAR","CONFIRMADO"))</f>
        <v/>
      </c>
    </row>
    <row r="152">
      <c r="B152" s="6" t="inlineStr">
        <is>
          <t>Moto Privada (Etapa I)</t>
        </is>
      </c>
      <c r="C152" s="21" t="inlineStr">
        <is>
          <t>Moto 103</t>
        </is>
      </c>
      <c r="D152" s="6" t="inlineStr">
        <is>
          <t>Patio de Motos</t>
        </is>
      </c>
      <c r="E152" s="22" t="n">
        <v>1.6</v>
      </c>
      <c r="F152" s="14" t="n">
        <v>0.000235</v>
      </c>
      <c r="G152" s="14" t="n">
        <v>0.00013</v>
      </c>
      <c r="H152" s="23" t="inlineStr">
        <is>
          <t>280-215093</t>
        </is>
      </c>
      <c r="I152" s="24">
        <f>IF(H152="","PENDIENTE",IF(LEFT(H152,10)="280-21XXXX","REVISAR","CONFIRMADO"))</f>
        <v/>
      </c>
    </row>
    <row r="153">
      <c r="B153" s="33" t="inlineStr">
        <is>
          <t>Moto Privada (Etapa I)</t>
        </is>
      </c>
      <c r="C153" s="26" t="inlineStr">
        <is>
          <t>Moto 104</t>
        </is>
      </c>
      <c r="D153" s="33" t="inlineStr">
        <is>
          <t>Patio de Motos</t>
        </is>
      </c>
      <c r="E153" s="27" t="n">
        <v>1.6</v>
      </c>
      <c r="F153" s="28" t="n">
        <v>0.000235</v>
      </c>
      <c r="G153" s="28" t="n">
        <v>0.00013</v>
      </c>
      <c r="H153" s="23" t="inlineStr">
        <is>
          <t>280-215094</t>
        </is>
      </c>
      <c r="I153" s="26">
        <f>IF(H153="","PENDIENTE",IF(LEFT(H153,10)="280-21XXXX","REVISAR","CONFIRMADO"))</f>
        <v/>
      </c>
    </row>
    <row r="154">
      <c r="B154" s="6" t="inlineStr">
        <is>
          <t>Moto Privada (Etapa I)</t>
        </is>
      </c>
      <c r="C154" s="21" t="inlineStr">
        <is>
          <t>Moto 105</t>
        </is>
      </c>
      <c r="D154" s="6" t="inlineStr">
        <is>
          <t>Patio de Motos</t>
        </is>
      </c>
      <c r="E154" s="22" t="n">
        <v>1.6</v>
      </c>
      <c r="F154" s="14" t="n">
        <v>0.000235</v>
      </c>
      <c r="G154" s="14" t="n">
        <v>0.00013</v>
      </c>
      <c r="H154" s="23" t="inlineStr">
        <is>
          <t>280-215095</t>
        </is>
      </c>
      <c r="I154" s="24">
        <f>IF(H154="","PENDIENTE",IF(LEFT(H154,10)="280-21XXXX","REVISAR","CONFIRMADO"))</f>
        <v/>
      </c>
    </row>
    <row r="155">
      <c r="B155" s="33" t="inlineStr">
        <is>
          <t>Moto Privada (Etapa I)</t>
        </is>
      </c>
      <c r="C155" s="26" t="inlineStr">
        <is>
          <t>Moto 106</t>
        </is>
      </c>
      <c r="D155" s="33" t="inlineStr">
        <is>
          <t>Patio de Motos</t>
        </is>
      </c>
      <c r="E155" s="27" t="n">
        <v>1.6</v>
      </c>
      <c r="F155" s="28" t="n">
        <v>0.000235</v>
      </c>
      <c r="G155" s="28" t="n">
        <v>0.00013</v>
      </c>
      <c r="H155" s="23" t="inlineStr">
        <is>
          <t>280-215096</t>
        </is>
      </c>
      <c r="I155" s="26">
        <f>IF(H155="","PENDIENTE",IF(LEFT(H155,10)="280-21XXXX","REVISAR","CONFIRMADO"))</f>
        <v/>
      </c>
    </row>
    <row r="156">
      <c r="B156" s="6" t="inlineStr">
        <is>
          <t>Moto Privada (Etapa I)</t>
        </is>
      </c>
      <c r="C156" s="21" t="inlineStr">
        <is>
          <t>Moto 107</t>
        </is>
      </c>
      <c r="D156" s="6" t="inlineStr">
        <is>
          <t>Patio de Motos</t>
        </is>
      </c>
      <c r="E156" s="22" t="n">
        <v>1.6</v>
      </c>
      <c r="F156" s="14" t="n">
        <v>0.000235</v>
      </c>
      <c r="G156" s="14" t="n">
        <v>0.00013</v>
      </c>
      <c r="H156" s="23" t="inlineStr">
        <is>
          <t>280-215097</t>
        </is>
      </c>
      <c r="I156" s="24">
        <f>IF(H156="","PENDIENTE",IF(LEFT(H156,10)="280-21XXXX","REVISAR","CONFIRMADO"))</f>
        <v/>
      </c>
    </row>
    <row r="157">
      <c r="B157" s="33" t="inlineStr">
        <is>
          <t>Moto Privada (Etapa I)</t>
        </is>
      </c>
      <c r="C157" s="26" t="inlineStr">
        <is>
          <t>Moto 108</t>
        </is>
      </c>
      <c r="D157" s="33" t="inlineStr">
        <is>
          <t>Patio de Motos</t>
        </is>
      </c>
      <c r="E157" s="27" t="n">
        <v>1.6</v>
      </c>
      <c r="F157" s="28" t="n">
        <v>0.000235</v>
      </c>
      <c r="G157" s="28" t="n">
        <v>0.00013</v>
      </c>
      <c r="H157" s="23" t="inlineStr">
        <is>
          <t>280-215098</t>
        </is>
      </c>
      <c r="I157" s="26">
        <f>IF(H157="","PENDIENTE",IF(LEFT(H157,10)="280-21XXXX","REVISAR","CONFIRMADO"))</f>
        <v/>
      </c>
    </row>
    <row r="158">
      <c r="B158" s="6" t="inlineStr">
        <is>
          <t>Moto Privada (Etapa I)</t>
        </is>
      </c>
      <c r="C158" s="21" t="inlineStr">
        <is>
          <t>Moto 109</t>
        </is>
      </c>
      <c r="D158" s="6" t="inlineStr">
        <is>
          <t>Patio de Motos</t>
        </is>
      </c>
      <c r="E158" s="22" t="n">
        <v>1.6</v>
      </c>
      <c r="F158" s="14" t="n">
        <v>0.000235</v>
      </c>
      <c r="G158" s="14" t="n">
        <v>0.00013</v>
      </c>
      <c r="H158" s="23" t="inlineStr">
        <is>
          <t>280-215099</t>
        </is>
      </c>
      <c r="I158" s="24">
        <f>IF(H158="","PENDIENTE",IF(LEFT(H158,10)="280-21XXXX","REVISAR","CONFIRMADO"))</f>
        <v/>
      </c>
    </row>
    <row r="159">
      <c r="B159" s="33" t="inlineStr">
        <is>
          <t>Moto Privada (Etapa I)</t>
        </is>
      </c>
      <c r="C159" s="26" t="inlineStr">
        <is>
          <t>Moto 110</t>
        </is>
      </c>
      <c r="D159" s="33" t="inlineStr">
        <is>
          <t>Patio de Motos</t>
        </is>
      </c>
      <c r="E159" s="27" t="n">
        <v>1.6</v>
      </c>
      <c r="F159" s="28" t="n">
        <v>0.000235</v>
      </c>
      <c r="G159" s="28" t="n">
        <v>0.00013</v>
      </c>
      <c r="H159" s="23" t="inlineStr">
        <is>
          <t>280-215100</t>
        </is>
      </c>
      <c r="I159" s="26">
        <f>IF(H159="","PENDIENTE",IF(LEFT(H159,10)="280-21XXXX","REVISAR","CONFIRMADO"))</f>
        <v/>
      </c>
    </row>
    <row r="160">
      <c r="B160" s="6" t="inlineStr">
        <is>
          <t>Moto Privada (Etapa I)</t>
        </is>
      </c>
      <c r="C160" s="21" t="inlineStr">
        <is>
          <t>Moto 111</t>
        </is>
      </c>
      <c r="D160" s="6" t="inlineStr">
        <is>
          <t>Patio de Motos</t>
        </is>
      </c>
      <c r="E160" s="22" t="n">
        <v>1.6</v>
      </c>
      <c r="F160" s="14" t="n">
        <v>0.000235</v>
      </c>
      <c r="G160" s="14" t="n">
        <v>0.00013</v>
      </c>
      <c r="H160" s="23" t="inlineStr">
        <is>
          <t>280-215101</t>
        </is>
      </c>
      <c r="I160" s="24">
        <f>IF(H160="","PENDIENTE",IF(LEFT(H160,10)="280-21XXXX","REVISAR","CONFIRMADO"))</f>
        <v/>
      </c>
    </row>
    <row r="161">
      <c r="B161" s="33" t="inlineStr">
        <is>
          <t>Moto Privada (Etapa I)</t>
        </is>
      </c>
      <c r="C161" s="26" t="inlineStr">
        <is>
          <t>Moto 112</t>
        </is>
      </c>
      <c r="D161" s="33" t="inlineStr">
        <is>
          <t>Patio de Motos</t>
        </is>
      </c>
      <c r="E161" s="27" t="n">
        <v>1.6</v>
      </c>
      <c r="F161" s="28" t="n">
        <v>0.000235</v>
      </c>
      <c r="G161" s="28" t="n">
        <v>0.00013</v>
      </c>
      <c r="H161" s="23" t="inlineStr">
        <is>
          <t>280-215102</t>
        </is>
      </c>
      <c r="I161" s="26">
        <f>IF(H161="","PENDIENTE",IF(LEFT(H161,10)="280-21XXXX","REVISAR","CONFIRMADO"))</f>
        <v/>
      </c>
    </row>
    <row r="162">
      <c r="B162" s="6" t="inlineStr">
        <is>
          <t>Moto Privada (Etapa I)</t>
        </is>
      </c>
      <c r="C162" s="21" t="inlineStr">
        <is>
          <t>Moto 113</t>
        </is>
      </c>
      <c r="D162" s="6" t="inlineStr">
        <is>
          <t>Patio de Motos</t>
        </is>
      </c>
      <c r="E162" s="22" t="n">
        <v>1.6</v>
      </c>
      <c r="F162" s="14" t="n">
        <v>0.000235</v>
      </c>
      <c r="G162" s="14" t="n">
        <v>0.00013</v>
      </c>
      <c r="H162" s="23" t="inlineStr">
        <is>
          <t>280-215103</t>
        </is>
      </c>
      <c r="I162" s="24">
        <f>IF(H162="","PENDIENTE",IF(LEFT(H162,10)="280-21XXXX","REVISAR","CONFIRMADO"))</f>
        <v/>
      </c>
    </row>
    <row r="163">
      <c r="B163" s="33" t="inlineStr">
        <is>
          <t>Moto Privada (Etapa I)</t>
        </is>
      </c>
      <c r="C163" s="26" t="inlineStr">
        <is>
          <t>Moto 114</t>
        </is>
      </c>
      <c r="D163" s="33" t="inlineStr">
        <is>
          <t>Patio de Motos</t>
        </is>
      </c>
      <c r="E163" s="27" t="n">
        <v>1.6</v>
      </c>
      <c r="F163" s="28" t="n">
        <v>0.000235</v>
      </c>
      <c r="G163" s="28" t="n">
        <v>0.00013</v>
      </c>
      <c r="H163" s="23" t="inlineStr">
        <is>
          <t>280-215104</t>
        </is>
      </c>
      <c r="I163" s="26">
        <f>IF(H163="","PENDIENTE",IF(LEFT(H163,10)="280-21XXXX","REVISAR","CONFIRMADO"))</f>
        <v/>
      </c>
    </row>
    <row r="164">
      <c r="B164" s="6" t="inlineStr">
        <is>
          <t>Moto Privada (Etapa I)</t>
        </is>
      </c>
      <c r="C164" s="21" t="inlineStr">
        <is>
          <t>Moto 115</t>
        </is>
      </c>
      <c r="D164" s="6" t="inlineStr">
        <is>
          <t>Patio de Motos</t>
        </is>
      </c>
      <c r="E164" s="22" t="n">
        <v>1.6</v>
      </c>
      <c r="F164" s="14" t="n">
        <v>0.000235</v>
      </c>
      <c r="G164" s="14" t="n">
        <v>0.00013</v>
      </c>
      <c r="H164" s="23" t="inlineStr">
        <is>
          <t>280-215105</t>
        </is>
      </c>
      <c r="I164" s="24">
        <f>IF(H164="","PENDIENTE",IF(LEFT(H164,10)="280-21XXXX","REVISAR","CONFIRMADO"))</f>
        <v/>
      </c>
    </row>
    <row r="165">
      <c r="B165" s="33" t="inlineStr">
        <is>
          <t>Moto Privada (Etapa I)</t>
        </is>
      </c>
      <c r="C165" s="26" t="inlineStr">
        <is>
          <t>Moto 116</t>
        </is>
      </c>
      <c r="D165" s="33" t="inlineStr">
        <is>
          <t>Patio de Motos</t>
        </is>
      </c>
      <c r="E165" s="27" t="n">
        <v>1.6</v>
      </c>
      <c r="F165" s="28" t="n">
        <v>0.000235</v>
      </c>
      <c r="G165" s="28" t="n">
        <v>0.00013</v>
      </c>
      <c r="H165" s="23" t="inlineStr">
        <is>
          <t>280-215106</t>
        </is>
      </c>
      <c r="I165" s="26">
        <f>IF(H165="","PENDIENTE",IF(LEFT(H165,10)="280-21XXXX","REVISAR","CONFIRMADO"))</f>
        <v/>
      </c>
    </row>
    <row r="166">
      <c r="B166" s="6" t="inlineStr">
        <is>
          <t>Moto Privada (Etapa I)</t>
        </is>
      </c>
      <c r="C166" s="21" t="inlineStr">
        <is>
          <t>Moto 117</t>
        </is>
      </c>
      <c r="D166" s="6" t="inlineStr">
        <is>
          <t>Patio de Motos</t>
        </is>
      </c>
      <c r="E166" s="22" t="n">
        <v>1.6</v>
      </c>
      <c r="F166" s="14" t="n">
        <v>0.000235</v>
      </c>
      <c r="G166" s="14" t="n">
        <v>0.00013</v>
      </c>
      <c r="H166" s="23" t="inlineStr">
        <is>
          <t>280-215107</t>
        </is>
      </c>
      <c r="I166" s="24">
        <f>IF(H166="","PENDIENTE",IF(LEFT(H166,10)="280-21XXXX","REVISAR","CONFIRMADO"))</f>
        <v/>
      </c>
    </row>
    <row r="167">
      <c r="B167" s="33" t="inlineStr">
        <is>
          <t>Moto Privada (Etapa I)</t>
        </is>
      </c>
      <c r="C167" s="26" t="inlineStr">
        <is>
          <t>Moto 118</t>
        </is>
      </c>
      <c r="D167" s="33" t="inlineStr">
        <is>
          <t>Patio de Motos</t>
        </is>
      </c>
      <c r="E167" s="27" t="n">
        <v>1.6</v>
      </c>
      <c r="F167" s="28" t="n">
        <v>0.000235</v>
      </c>
      <c r="G167" s="28" t="n">
        <v>0.00013</v>
      </c>
      <c r="H167" s="23" t="inlineStr">
        <is>
          <t>280-215108</t>
        </is>
      </c>
      <c r="I167" s="26">
        <f>IF(H167="","PENDIENTE",IF(LEFT(H167,10)="280-21XXXX","REVISAR","CONFIRMADO"))</f>
        <v/>
      </c>
    </row>
    <row r="168">
      <c r="B168" s="6" t="inlineStr">
        <is>
          <t>Moto Privada (Etapa I)</t>
        </is>
      </c>
      <c r="C168" s="21" t="inlineStr">
        <is>
          <t>Moto 119</t>
        </is>
      </c>
      <c r="D168" s="6" t="inlineStr">
        <is>
          <t>Patio de Motos</t>
        </is>
      </c>
      <c r="E168" s="22" t="n">
        <v>1.6</v>
      </c>
      <c r="F168" s="14" t="n">
        <v>0.000235</v>
      </c>
      <c r="G168" s="14" t="n">
        <v>0.00013</v>
      </c>
      <c r="H168" s="23" t="inlineStr">
        <is>
          <t>280-215109</t>
        </is>
      </c>
      <c r="I168" s="24">
        <f>IF(H168="","PENDIENTE",IF(LEFT(H168,10)="280-21XXXX","REVISAR","CONFIRMADO"))</f>
        <v/>
      </c>
    </row>
    <row r="169">
      <c r="B169" s="33" t="inlineStr">
        <is>
          <t>Moto Privada (Etapa I)</t>
        </is>
      </c>
      <c r="C169" s="26" t="inlineStr">
        <is>
          <t>Moto 120</t>
        </is>
      </c>
      <c r="D169" s="33" t="inlineStr">
        <is>
          <t>Patio de Motos</t>
        </is>
      </c>
      <c r="E169" s="27" t="n">
        <v>1.6</v>
      </c>
      <c r="F169" s="28" t="n">
        <v>0.000235</v>
      </c>
      <c r="G169" s="28" t="n">
        <v>0.00013</v>
      </c>
      <c r="H169" s="23" t="inlineStr">
        <is>
          <t>280-215110</t>
        </is>
      </c>
      <c r="I169" s="26">
        <f>IF(H169="","PENDIENTE",IF(LEFT(H169,10)="280-21XXXX","REVISAR","CONFIRMADO"))</f>
        <v/>
      </c>
    </row>
    <row r="170">
      <c r="B170" s="6" t="inlineStr">
        <is>
          <t>Moto Privada (Etapa I)</t>
        </is>
      </c>
      <c r="C170" s="21" t="inlineStr">
        <is>
          <t>Moto 121</t>
        </is>
      </c>
      <c r="D170" s="6" t="inlineStr">
        <is>
          <t>Patio de Motos</t>
        </is>
      </c>
      <c r="E170" s="22" t="n">
        <v>1.6</v>
      </c>
      <c r="F170" s="14" t="n">
        <v>0.000235</v>
      </c>
      <c r="G170" s="14" t="n">
        <v>0.00013</v>
      </c>
      <c r="H170" s="23" t="inlineStr">
        <is>
          <t>280-215111</t>
        </is>
      </c>
      <c r="I170" s="24">
        <f>IF(H170="","PENDIENTE",IF(LEFT(H170,10)="280-21XXXX","REVISAR","CONFIRMADO"))</f>
        <v/>
      </c>
    </row>
    <row r="171">
      <c r="B171" s="33" t="inlineStr">
        <is>
          <t>Moto Privada (Etapa I)</t>
        </is>
      </c>
      <c r="C171" s="26" t="inlineStr">
        <is>
          <t>Moto 122</t>
        </is>
      </c>
      <c r="D171" s="33" t="inlineStr">
        <is>
          <t>Patio de Motos</t>
        </is>
      </c>
      <c r="E171" s="27" t="n">
        <v>1.6</v>
      </c>
      <c r="F171" s="28" t="n">
        <v>0.000235</v>
      </c>
      <c r="G171" s="28" t="n">
        <v>0.00013</v>
      </c>
      <c r="H171" s="23" t="inlineStr">
        <is>
          <t>280-215112</t>
        </is>
      </c>
      <c r="I171" s="26">
        <f>IF(H171="","PENDIENTE",IF(LEFT(H171,10)="280-21XXXX","REVISAR","CONFIRMADO"))</f>
        <v/>
      </c>
    </row>
    <row r="172">
      <c r="B172" s="6" t="inlineStr">
        <is>
          <t>Moto Privada (Etapa I)</t>
        </is>
      </c>
      <c r="C172" s="21" t="inlineStr">
        <is>
          <t>Moto 123</t>
        </is>
      </c>
      <c r="D172" s="6" t="inlineStr">
        <is>
          <t>Patio de Motos</t>
        </is>
      </c>
      <c r="E172" s="22" t="n">
        <v>1.6</v>
      </c>
      <c r="F172" s="14" t="n">
        <v>0.000235</v>
      </c>
      <c r="G172" s="14" t="n">
        <v>0.00013</v>
      </c>
      <c r="H172" s="23" t="inlineStr">
        <is>
          <t>280-215113</t>
        </is>
      </c>
      <c r="I172" s="24">
        <f>IF(H172="","PENDIENTE",IF(LEFT(H172,10)="280-21XXXX","REVISAR","CONFIRMADO"))</f>
        <v/>
      </c>
    </row>
    <row r="173">
      <c r="B173" s="33" t="inlineStr">
        <is>
          <t>Moto Privada (Etapa I)</t>
        </is>
      </c>
      <c r="C173" s="26" t="inlineStr">
        <is>
          <t>Moto 124</t>
        </is>
      </c>
      <c r="D173" s="33" t="inlineStr">
        <is>
          <t>Patio de Motos</t>
        </is>
      </c>
      <c r="E173" s="27" t="n">
        <v>1.6</v>
      </c>
      <c r="F173" s="28" t="n">
        <v>0.000235</v>
      </c>
      <c r="G173" s="28" t="n">
        <v>0.00013</v>
      </c>
      <c r="H173" s="23" t="inlineStr">
        <is>
          <t>280-215114</t>
        </is>
      </c>
      <c r="I173" s="26">
        <f>IF(H173="","PENDIENTE",IF(LEFT(H173,10)="280-21XXXX","REVISAR","CONFIRMADO"))</f>
        <v/>
      </c>
    </row>
    <row r="174">
      <c r="B174" s="6" t="inlineStr">
        <is>
          <t>Moto Privada (Etapa I)</t>
        </is>
      </c>
      <c r="C174" s="21" t="inlineStr">
        <is>
          <t>Moto 125</t>
        </is>
      </c>
      <c r="D174" s="6" t="inlineStr">
        <is>
          <t>Patio de Motos</t>
        </is>
      </c>
      <c r="E174" s="22" t="n">
        <v>1.6</v>
      </c>
      <c r="F174" s="14" t="n">
        <v>0.000235</v>
      </c>
      <c r="G174" s="14" t="n">
        <v>0.00013</v>
      </c>
      <c r="H174" s="23" t="inlineStr">
        <is>
          <t>280-215115</t>
        </is>
      </c>
      <c r="I174" s="24">
        <f>IF(H174="","PENDIENTE",IF(LEFT(H174,10)="280-21XXXX","REVISAR","CONFIRMADO"))</f>
        <v/>
      </c>
    </row>
    <row r="175">
      <c r="B175" s="33" t="inlineStr">
        <is>
          <t>Moto Privada (Etapa I)</t>
        </is>
      </c>
      <c r="C175" s="26" t="inlineStr">
        <is>
          <t>Moto 126</t>
        </is>
      </c>
      <c r="D175" s="33" t="inlineStr">
        <is>
          <t>Patio de Motos</t>
        </is>
      </c>
      <c r="E175" s="27" t="n">
        <v>1.6</v>
      </c>
      <c r="F175" s="28" t="n">
        <v>0.000235</v>
      </c>
      <c r="G175" s="28" t="n">
        <v>0.00013</v>
      </c>
      <c r="H175" s="23" t="inlineStr">
        <is>
          <t>280-215116</t>
        </is>
      </c>
      <c r="I175" s="26">
        <f>IF(H175="","PENDIENTE",IF(LEFT(H175,10)="280-21XXXX","REVISAR","CONFIRMADO"))</f>
        <v/>
      </c>
    </row>
    <row r="176">
      <c r="B176" s="6" t="inlineStr">
        <is>
          <t>Moto Privada (Etapa I)</t>
        </is>
      </c>
      <c r="C176" s="21" t="inlineStr">
        <is>
          <t>Moto 127</t>
        </is>
      </c>
      <c r="D176" s="6" t="inlineStr">
        <is>
          <t>Patio de Motos</t>
        </is>
      </c>
      <c r="E176" s="22" t="n">
        <v>1.6</v>
      </c>
      <c r="F176" s="14" t="n">
        <v>0.000235</v>
      </c>
      <c r="G176" s="14" t="n">
        <v>0.00013</v>
      </c>
      <c r="H176" s="23" t="inlineStr">
        <is>
          <t>280-215117</t>
        </is>
      </c>
      <c r="I176" s="24">
        <f>IF(H176="","PENDIENTE",IF(LEFT(H176,10)="280-21XXXX","REVISAR","CONFIRMADO"))</f>
        <v/>
      </c>
    </row>
    <row r="177">
      <c r="B177" s="33" t="inlineStr">
        <is>
          <t>Moto Privada (Etapa I)</t>
        </is>
      </c>
      <c r="C177" s="26" t="inlineStr">
        <is>
          <t>Moto 128</t>
        </is>
      </c>
      <c r="D177" s="33" t="inlineStr">
        <is>
          <t>Patio de Motos</t>
        </is>
      </c>
      <c r="E177" s="27" t="n">
        <v>1.6</v>
      </c>
      <c r="F177" s="28" t="n">
        <v>0.000235</v>
      </c>
      <c r="G177" s="28" t="n">
        <v>0.00013</v>
      </c>
      <c r="H177" s="23" t="inlineStr">
        <is>
          <t>280-215118</t>
        </is>
      </c>
      <c r="I177" s="26">
        <f>IF(H177="","PENDIENTE",IF(LEFT(H177,10)="280-21XXXX","REVISAR","CONFIRMADO"))</f>
        <v/>
      </c>
    </row>
    <row r="178">
      <c r="B178" s="6" t="inlineStr">
        <is>
          <t>Moto Privada (Etapa I)</t>
        </is>
      </c>
      <c r="C178" s="21" t="inlineStr">
        <is>
          <t>Moto 129</t>
        </is>
      </c>
      <c r="D178" s="6" t="inlineStr">
        <is>
          <t>Patio de Motos</t>
        </is>
      </c>
      <c r="E178" s="22" t="n">
        <v>1.6</v>
      </c>
      <c r="F178" s="14" t="n">
        <v>0.000235</v>
      </c>
      <c r="G178" s="14" t="n">
        <v>0.00013</v>
      </c>
      <c r="H178" s="23" t="inlineStr">
        <is>
          <t>280-215119</t>
        </is>
      </c>
      <c r="I178" s="24">
        <f>IF(H178="","PENDIENTE",IF(LEFT(H178,10)="280-21XXXX","REVISAR","CONFIRMADO"))</f>
        <v/>
      </c>
    </row>
    <row r="179">
      <c r="B179" s="33" t="inlineStr">
        <is>
          <t>Moto Privada (Etapa I)</t>
        </is>
      </c>
      <c r="C179" s="26" t="inlineStr">
        <is>
          <t>Moto 130</t>
        </is>
      </c>
      <c r="D179" s="33" t="inlineStr">
        <is>
          <t>Patio de Motos</t>
        </is>
      </c>
      <c r="E179" s="27" t="n">
        <v>1.6</v>
      </c>
      <c r="F179" s="28" t="n">
        <v>0.000235</v>
      </c>
      <c r="G179" s="28" t="n">
        <v>0.00013</v>
      </c>
      <c r="H179" s="23" t="inlineStr">
        <is>
          <t>280-215120</t>
        </is>
      </c>
      <c r="I179" s="26">
        <f>IF(H179="","PENDIENTE",IF(LEFT(H179,10)="280-21XXXX","REVISAR","CONFIRMADO"))</f>
        <v/>
      </c>
    </row>
    <row r="180">
      <c r="B180" s="6" t="inlineStr">
        <is>
          <t>Moto Privada (Etapa I)</t>
        </is>
      </c>
      <c r="C180" s="21" t="inlineStr">
        <is>
          <t>Moto 131</t>
        </is>
      </c>
      <c r="D180" s="6" t="inlineStr">
        <is>
          <t>Patio de Motos</t>
        </is>
      </c>
      <c r="E180" s="22" t="n">
        <v>1.6</v>
      </c>
      <c r="F180" s="14" t="n">
        <v>0.000235</v>
      </c>
      <c r="G180" s="14" t="n">
        <v>0.00013</v>
      </c>
      <c r="H180" s="23" t="inlineStr">
        <is>
          <t>280-215121</t>
        </is>
      </c>
      <c r="I180" s="24">
        <f>IF(H180="","PENDIENTE",IF(LEFT(H180,10)="280-21XXXX","REVISAR","CONFIRMADO"))</f>
        <v/>
      </c>
    </row>
    <row r="181">
      <c r="B181" s="33" t="inlineStr">
        <is>
          <t>Moto Privada (Etapa I)</t>
        </is>
      </c>
      <c r="C181" s="26" t="inlineStr">
        <is>
          <t>Moto 132</t>
        </is>
      </c>
      <c r="D181" s="33" t="inlineStr">
        <is>
          <t>Patio de Motos</t>
        </is>
      </c>
      <c r="E181" s="27" t="n">
        <v>1.6</v>
      </c>
      <c r="F181" s="28" t="n">
        <v>0.000235</v>
      </c>
      <c r="G181" s="28" t="n">
        <v>0.00013</v>
      </c>
      <c r="H181" s="23" t="inlineStr">
        <is>
          <t>280-215122</t>
        </is>
      </c>
      <c r="I181" s="26">
        <f>IF(H181="","PENDIENTE",IF(LEFT(H181,10)="280-21XXXX","REVISAR","CONFIRMADO"))</f>
        <v/>
      </c>
    </row>
    <row r="182">
      <c r="B182" s="6" t="inlineStr">
        <is>
          <t>Moto Privada (Etapa I)</t>
        </is>
      </c>
      <c r="C182" s="21" t="inlineStr">
        <is>
          <t>Moto 133</t>
        </is>
      </c>
      <c r="D182" s="6" t="inlineStr">
        <is>
          <t>Patio de Motos</t>
        </is>
      </c>
      <c r="E182" s="22" t="n">
        <v>1.6</v>
      </c>
      <c r="F182" s="14" t="n">
        <v>0.000235</v>
      </c>
      <c r="G182" s="14" t="n">
        <v>0.00013</v>
      </c>
      <c r="H182" s="23" t="inlineStr">
        <is>
          <t>280-215123</t>
        </is>
      </c>
      <c r="I182" s="24">
        <f>IF(H182="","PENDIENTE",IF(LEFT(H182,10)="280-21XXXX","REVISAR","CONFIRMADO"))</f>
        <v/>
      </c>
    </row>
    <row r="183">
      <c r="B183" s="33" t="inlineStr">
        <is>
          <t>Moto Privada (Etapa I)</t>
        </is>
      </c>
      <c r="C183" s="26" t="inlineStr">
        <is>
          <t>Moto 134</t>
        </is>
      </c>
      <c r="D183" s="33" t="inlineStr">
        <is>
          <t>Patio de Motos</t>
        </is>
      </c>
      <c r="E183" s="27" t="n">
        <v>1.6</v>
      </c>
      <c r="F183" s="28" t="n">
        <v>0.000235</v>
      </c>
      <c r="G183" s="28" t="n">
        <v>0.00013</v>
      </c>
      <c r="H183" s="23" t="inlineStr">
        <is>
          <t>280-215124</t>
        </is>
      </c>
      <c r="I183" s="26">
        <f>IF(H183="","PENDIENTE",IF(LEFT(H183,10)="280-21XXXX","REVISAR","CONFIRMADO"))</f>
        <v/>
      </c>
    </row>
    <row r="184">
      <c r="B184" s="6" t="inlineStr">
        <is>
          <t>Moto Privada (Etapa I)</t>
        </is>
      </c>
      <c r="C184" s="21" t="inlineStr">
        <is>
          <t>Moto 135</t>
        </is>
      </c>
      <c r="D184" s="6" t="inlineStr">
        <is>
          <t>Patio de Motos</t>
        </is>
      </c>
      <c r="E184" s="22" t="n">
        <v>1.6</v>
      </c>
      <c r="F184" s="14" t="n">
        <v>0.000235</v>
      </c>
      <c r="G184" s="14" t="n">
        <v>0.00013</v>
      </c>
      <c r="H184" s="23" t="inlineStr">
        <is>
          <t>280-215125</t>
        </is>
      </c>
      <c r="I184" s="24">
        <f>IF(H184="","PENDIENTE",IF(LEFT(H184,10)="280-21XXXX","REVISAR","CONFIRMADO"))</f>
        <v/>
      </c>
    </row>
    <row r="185">
      <c r="B185" s="33" t="inlineStr">
        <is>
          <t>Moto Privada (Etapa I)</t>
        </is>
      </c>
      <c r="C185" s="26" t="inlineStr">
        <is>
          <t>Moto 136</t>
        </is>
      </c>
      <c r="D185" s="33" t="inlineStr">
        <is>
          <t>Patio de Motos</t>
        </is>
      </c>
      <c r="E185" s="27" t="n">
        <v>1.6</v>
      </c>
      <c r="F185" s="28" t="n">
        <v>0.000235</v>
      </c>
      <c r="G185" s="28" t="n">
        <v>0.00013</v>
      </c>
      <c r="H185" s="23" t="inlineStr">
        <is>
          <t>280-215126</t>
        </is>
      </c>
      <c r="I185" s="26">
        <f>IF(H185="","PENDIENTE",IF(LEFT(H185,10)="280-21XXXX","REVISAR","CONFIRMADO"))</f>
        <v/>
      </c>
    </row>
    <row r="186">
      <c r="B186" s="6" t="inlineStr">
        <is>
          <t>Moto Privada (Etapa I)</t>
        </is>
      </c>
      <c r="C186" s="21" t="inlineStr">
        <is>
          <t>Moto 137</t>
        </is>
      </c>
      <c r="D186" s="6" t="inlineStr">
        <is>
          <t>Patio de Motos</t>
        </is>
      </c>
      <c r="E186" s="22" t="n">
        <v>1.6</v>
      </c>
      <c r="F186" s="14" t="n">
        <v>0.000235</v>
      </c>
      <c r="G186" s="14" t="n">
        <v>0.00013</v>
      </c>
      <c r="H186" s="23" t="inlineStr">
        <is>
          <t>280-215127</t>
        </is>
      </c>
      <c r="I186" s="24">
        <f>IF(H186="","PENDIENTE",IF(LEFT(H186,10)="280-21XXXX","REVISAR","CONFIRMADO"))</f>
        <v/>
      </c>
    </row>
    <row r="187">
      <c r="B187" s="33" t="inlineStr">
        <is>
          <t>Moto Privada (Etapa I)</t>
        </is>
      </c>
      <c r="C187" s="26" t="inlineStr">
        <is>
          <t>Moto 138</t>
        </is>
      </c>
      <c r="D187" s="33" t="inlineStr">
        <is>
          <t>Patio de Motos</t>
        </is>
      </c>
      <c r="E187" s="27" t="n">
        <v>1.6</v>
      </c>
      <c r="F187" s="28" t="n">
        <v>0.000235</v>
      </c>
      <c r="G187" s="28" t="n">
        <v>0.00013</v>
      </c>
      <c r="H187" s="23" t="inlineStr">
        <is>
          <t>280-215128</t>
        </is>
      </c>
      <c r="I187" s="26">
        <f>IF(H187="","PENDIENTE",IF(LEFT(H187,10)="280-21XXXX","REVISAR","CONFIRMADO"))</f>
        <v/>
      </c>
    </row>
    <row r="188">
      <c r="B188" s="6" t="inlineStr">
        <is>
          <t>Moto Privada (Etapa I)</t>
        </is>
      </c>
      <c r="C188" s="21" t="inlineStr">
        <is>
          <t>Moto 139</t>
        </is>
      </c>
      <c r="D188" s="6" t="inlineStr">
        <is>
          <t>Patio de Motos</t>
        </is>
      </c>
      <c r="E188" s="22" t="n">
        <v>1.6</v>
      </c>
      <c r="F188" s="14" t="n">
        <v>0.000235</v>
      </c>
      <c r="G188" s="14" t="n">
        <v>0.00013</v>
      </c>
      <c r="H188" s="23" t="inlineStr">
        <is>
          <t>280-215129</t>
        </is>
      </c>
      <c r="I188" s="24">
        <f>IF(H188="","PENDIENTE",IF(LEFT(H188,10)="280-21XXXX","REVISAR","CONFIRMADO"))</f>
        <v/>
      </c>
    </row>
    <row r="189">
      <c r="B189" s="33" t="inlineStr">
        <is>
          <t>Moto Privada (Etapa I)</t>
        </is>
      </c>
      <c r="C189" s="26" t="inlineStr">
        <is>
          <t>Moto 140</t>
        </is>
      </c>
      <c r="D189" s="33" t="inlineStr">
        <is>
          <t>Patio de Motos</t>
        </is>
      </c>
      <c r="E189" s="27" t="n">
        <v>1.6</v>
      </c>
      <c r="F189" s="28" t="n">
        <v>0.000235</v>
      </c>
      <c r="G189" s="28" t="n">
        <v>0.00013</v>
      </c>
      <c r="H189" s="23" t="inlineStr">
        <is>
          <t>280-215130</t>
        </is>
      </c>
      <c r="I189" s="26">
        <f>IF(H189="","PENDIENTE",IF(LEFT(H189,10)="280-21XXXX","REVISAR","CONFIRMADO"))</f>
        <v/>
      </c>
    </row>
    <row r="190">
      <c r="B190" s="6" t="inlineStr">
        <is>
          <t>Moto Privada (Etapa I)</t>
        </is>
      </c>
      <c r="C190" s="21" t="inlineStr">
        <is>
          <t>Moto 141</t>
        </is>
      </c>
      <c r="D190" s="6" t="inlineStr">
        <is>
          <t>Patio de Motos</t>
        </is>
      </c>
      <c r="E190" s="22" t="n">
        <v>1.6</v>
      </c>
      <c r="F190" s="14" t="n">
        <v>0.000235</v>
      </c>
      <c r="G190" s="14" t="n">
        <v>0.00013</v>
      </c>
      <c r="H190" s="23" t="inlineStr">
        <is>
          <t>280-215131</t>
        </is>
      </c>
      <c r="I190" s="24">
        <f>IF(H190="","PENDIENTE",IF(LEFT(H190,10)="280-21XXXX","REVISAR","CONFIRMADO"))</f>
        <v/>
      </c>
    </row>
    <row r="191">
      <c r="B191" s="33" t="inlineStr">
        <is>
          <t>Moto Privada (Etapa I)</t>
        </is>
      </c>
      <c r="C191" s="26" t="inlineStr">
        <is>
          <t>Moto 142</t>
        </is>
      </c>
      <c r="D191" s="33" t="inlineStr">
        <is>
          <t>Patio de Motos</t>
        </is>
      </c>
      <c r="E191" s="27" t="n">
        <v>1.6</v>
      </c>
      <c r="F191" s="28" t="n">
        <v>0.000235</v>
      </c>
      <c r="G191" s="28" t="n">
        <v>0.00013</v>
      </c>
      <c r="H191" s="23" t="inlineStr">
        <is>
          <t>280-215132</t>
        </is>
      </c>
      <c r="I191" s="26">
        <f>IF(H191="","PENDIENTE",IF(LEFT(H191,10)="280-21XXXX","REVISAR","CONFIRMADO"))</f>
        <v/>
      </c>
    </row>
    <row r="192">
      <c r="B192" s="6" t="inlineStr">
        <is>
          <t>Moto Privada (Etapa I)</t>
        </is>
      </c>
      <c r="C192" s="21" t="inlineStr">
        <is>
          <t>Moto 143</t>
        </is>
      </c>
      <c r="D192" s="6" t="inlineStr">
        <is>
          <t>Patio de Motos</t>
        </is>
      </c>
      <c r="E192" s="22" t="n">
        <v>1.6</v>
      </c>
      <c r="F192" s="14" t="n">
        <v>0.000235</v>
      </c>
      <c r="G192" s="14" t="n">
        <v>0.00013</v>
      </c>
      <c r="H192" s="23" t="inlineStr">
        <is>
          <t>280-215133</t>
        </is>
      </c>
      <c r="I192" s="24">
        <f>IF(H192="","PENDIENTE",IF(LEFT(H192,10)="280-21XXXX","REVISAR","CONFIRMADO"))</f>
        <v/>
      </c>
    </row>
    <row r="193">
      <c r="B193" s="33" t="inlineStr">
        <is>
          <t>Moto Privada (Etapa I)</t>
        </is>
      </c>
      <c r="C193" s="26" t="inlineStr">
        <is>
          <t>Moto 144</t>
        </is>
      </c>
      <c r="D193" s="33" t="inlineStr">
        <is>
          <t>Patio de Motos</t>
        </is>
      </c>
      <c r="E193" s="27" t="n">
        <v>1.6</v>
      </c>
      <c r="F193" s="28" t="n">
        <v>0.000235</v>
      </c>
      <c r="G193" s="28" t="n">
        <v>0.00013</v>
      </c>
      <c r="H193" s="23" t="inlineStr">
        <is>
          <t>280-215134</t>
        </is>
      </c>
      <c r="I193" s="26">
        <f>IF(H193="","PENDIENTE",IF(LEFT(H193,10)="280-21XXXX","REVISAR","CONFIRMADO"))</f>
        <v/>
      </c>
    </row>
    <row r="194">
      <c r="B194" s="6" t="inlineStr">
        <is>
          <t>Moto Privada (Etapa I)</t>
        </is>
      </c>
      <c r="C194" s="21" t="inlineStr">
        <is>
          <t>Moto 145</t>
        </is>
      </c>
      <c r="D194" s="6" t="inlineStr">
        <is>
          <t>Patio de Motos</t>
        </is>
      </c>
      <c r="E194" s="22" t="n">
        <v>1.6</v>
      </c>
      <c r="F194" s="14" t="n">
        <v>0.000235</v>
      </c>
      <c r="G194" s="14" t="n">
        <v>0.00013</v>
      </c>
      <c r="H194" s="23" t="inlineStr">
        <is>
          <t>280-215135</t>
        </is>
      </c>
      <c r="I194" s="24">
        <f>IF(H194="","PENDIENTE",IF(LEFT(H194,10)="280-21XXXX","REVISAR","CONFIRMADO"))</f>
        <v/>
      </c>
    </row>
    <row r="195">
      <c r="B195" s="33" t="inlineStr">
        <is>
          <t>Moto Privada (Etapa I)</t>
        </is>
      </c>
      <c r="C195" s="26" t="inlineStr">
        <is>
          <t>Moto 146</t>
        </is>
      </c>
      <c r="D195" s="33" t="inlineStr">
        <is>
          <t>Patio de Motos</t>
        </is>
      </c>
      <c r="E195" s="27" t="n">
        <v>1.6</v>
      </c>
      <c r="F195" s="28" t="n">
        <v>0.000235</v>
      </c>
      <c r="G195" s="28" t="n">
        <v>0.00013</v>
      </c>
      <c r="H195" s="23" t="inlineStr">
        <is>
          <t>280-215136</t>
        </is>
      </c>
      <c r="I195" s="26">
        <f>IF(H195="","PENDIENTE",IF(LEFT(H195,10)="280-21XXXX","REVISAR","CONFIRMADO"))</f>
        <v/>
      </c>
    </row>
    <row r="196">
      <c r="B196" s="6" t="inlineStr">
        <is>
          <t>Moto Privada (Etapa I)</t>
        </is>
      </c>
      <c r="C196" s="21" t="inlineStr">
        <is>
          <t>Moto 147</t>
        </is>
      </c>
      <c r="D196" s="6" t="inlineStr">
        <is>
          <t>Patio de Motos</t>
        </is>
      </c>
      <c r="E196" s="22" t="n">
        <v>1.6</v>
      </c>
      <c r="F196" s="14" t="n">
        <v>0.000235</v>
      </c>
      <c r="G196" s="14" t="n">
        <v>0.00013</v>
      </c>
      <c r="H196" s="23" t="inlineStr">
        <is>
          <t>280-215137</t>
        </is>
      </c>
      <c r="I196" s="24">
        <f>IF(H196="","PENDIENTE",IF(LEFT(H196,10)="280-21XXXX","REVISAR","CONFIRMADO"))</f>
        <v/>
      </c>
    </row>
    <row r="197">
      <c r="B197" s="33" t="inlineStr">
        <is>
          <t>Moto Privada (Etapa I)</t>
        </is>
      </c>
      <c r="C197" s="26" t="inlineStr">
        <is>
          <t>Moto 148</t>
        </is>
      </c>
      <c r="D197" s="33" t="inlineStr">
        <is>
          <t>Patio de Motos</t>
        </is>
      </c>
      <c r="E197" s="27" t="n">
        <v>1.6</v>
      </c>
      <c r="F197" s="28" t="n">
        <v>0.000235</v>
      </c>
      <c r="G197" s="28" t="n">
        <v>0.00013</v>
      </c>
      <c r="H197" s="23" t="inlineStr">
        <is>
          <t>280-215138</t>
        </is>
      </c>
      <c r="I197" s="26">
        <f>IF(H197="","PENDIENTE",IF(LEFT(H197,10)="280-21XXXX","REVISAR","CONFIRMADO"))</f>
        <v/>
      </c>
    </row>
    <row r="198">
      <c r="B198" s="6" t="inlineStr">
        <is>
          <t>Moto Privada (Etapa I)</t>
        </is>
      </c>
      <c r="C198" s="21" t="inlineStr">
        <is>
          <t>Moto 149</t>
        </is>
      </c>
      <c r="D198" s="6" t="inlineStr">
        <is>
          <t>Patio de Motos</t>
        </is>
      </c>
      <c r="E198" s="22" t="n">
        <v>1.6</v>
      </c>
      <c r="F198" s="14" t="n">
        <v>0.000235</v>
      </c>
      <c r="G198" s="14" t="n">
        <v>0.00013</v>
      </c>
      <c r="H198" s="23" t="inlineStr">
        <is>
          <t>280-215139</t>
        </is>
      </c>
      <c r="I198" s="24">
        <f>IF(H198="","PENDIENTE",IF(LEFT(H198,10)="280-21XXXX","REVISAR","CONFIRMADO"))</f>
        <v/>
      </c>
    </row>
    <row r="199">
      <c r="B199" s="33" t="inlineStr">
        <is>
          <t>Moto Privada (Etapa I)</t>
        </is>
      </c>
      <c r="C199" s="26" t="inlineStr">
        <is>
          <t>Moto 150</t>
        </is>
      </c>
      <c r="D199" s="33" t="inlineStr">
        <is>
          <t>Patio de Motos</t>
        </is>
      </c>
      <c r="E199" s="27" t="n">
        <v>1.6</v>
      </c>
      <c r="F199" s="28" t="n">
        <v>0.000235</v>
      </c>
      <c r="G199" s="28" t="n">
        <v>0.00013</v>
      </c>
      <c r="H199" s="23" t="inlineStr">
        <is>
          <t>280-215140</t>
        </is>
      </c>
      <c r="I199" s="26">
        <f>IF(H199="","PENDIENTE",IF(LEFT(H199,10)="280-21XXXX","REVISAR","CONFIRMADO"))</f>
        <v/>
      </c>
    </row>
    <row r="200">
      <c r="B200" s="6" t="inlineStr">
        <is>
          <t>Moto Privada (Etapa I)</t>
        </is>
      </c>
      <c r="C200" s="21" t="inlineStr">
        <is>
          <t>Moto 151</t>
        </is>
      </c>
      <c r="D200" s="6" t="inlineStr">
        <is>
          <t>Patio de Motos</t>
        </is>
      </c>
      <c r="E200" s="22" t="n">
        <v>1.6</v>
      </c>
      <c r="F200" s="14" t="n">
        <v>0.000235</v>
      </c>
      <c r="G200" s="14" t="n">
        <v>0.00013</v>
      </c>
      <c r="H200" s="23" t="inlineStr">
        <is>
          <t>280-215141</t>
        </is>
      </c>
      <c r="I200" s="24">
        <f>IF(H200="","PENDIENTE",IF(LEFT(H200,10)="280-21XXXX","REVISAR","CONFIRMADO"))</f>
        <v/>
      </c>
    </row>
    <row r="201">
      <c r="B201" s="33" t="inlineStr">
        <is>
          <t>Moto Privada (Etapa I)</t>
        </is>
      </c>
      <c r="C201" s="26" t="inlineStr">
        <is>
          <t>Moto 152</t>
        </is>
      </c>
      <c r="D201" s="33" t="inlineStr">
        <is>
          <t>Patio de Motos</t>
        </is>
      </c>
      <c r="E201" s="27" t="n">
        <v>1.6</v>
      </c>
      <c r="F201" s="28" t="n">
        <v>0.000235</v>
      </c>
      <c r="G201" s="28" t="n">
        <v>0.00013</v>
      </c>
      <c r="H201" s="23" t="inlineStr">
        <is>
          <t>280-215142</t>
        </is>
      </c>
      <c r="I201" s="26">
        <f>IF(H201="","PENDIENTE",IF(LEFT(H201,10)="280-21XXXX","REVISAR","CONFIRMADO"))</f>
        <v/>
      </c>
    </row>
    <row r="202">
      <c r="B202" s="6" t="inlineStr">
        <is>
          <t>Moto Privada (Etapa I)</t>
        </is>
      </c>
      <c r="C202" s="21" t="inlineStr">
        <is>
          <t>Moto 153</t>
        </is>
      </c>
      <c r="D202" s="6" t="inlineStr">
        <is>
          <t>Patio de Motos</t>
        </is>
      </c>
      <c r="E202" s="22" t="n">
        <v>1.6</v>
      </c>
      <c r="F202" s="14" t="n">
        <v>0.000235</v>
      </c>
      <c r="G202" s="14" t="n">
        <v>0.00013</v>
      </c>
      <c r="H202" s="23" t="inlineStr">
        <is>
          <t>280-215143</t>
        </is>
      </c>
      <c r="I202" s="24">
        <f>IF(H202="","PENDIENTE",IF(LEFT(H202,10)="280-21XXXX","REVISAR","CONFIRMADO"))</f>
        <v/>
      </c>
    </row>
    <row r="203">
      <c r="B203" s="33" t="inlineStr">
        <is>
          <t>Moto Privada (Etapa I)</t>
        </is>
      </c>
      <c r="C203" s="26" t="inlineStr">
        <is>
          <t>Moto 154</t>
        </is>
      </c>
      <c r="D203" s="33" t="inlineStr">
        <is>
          <t>Patio de Motos</t>
        </is>
      </c>
      <c r="E203" s="27" t="n">
        <v>1.6</v>
      </c>
      <c r="F203" s="28" t="n">
        <v>0.000235</v>
      </c>
      <c r="G203" s="28" t="n">
        <v>0.00013</v>
      </c>
      <c r="H203" s="23" t="inlineStr">
        <is>
          <t>280-215144</t>
        </is>
      </c>
      <c r="I203" s="26">
        <f>IF(H203="","PENDIENTE",IF(LEFT(H203,10)="280-21XXXX","REVISAR","CONFIRMADO"))</f>
        <v/>
      </c>
    </row>
    <row r="204">
      <c r="B204" s="6" t="inlineStr">
        <is>
          <t>Moto Privada (Etapa I)</t>
        </is>
      </c>
      <c r="C204" s="21" t="inlineStr">
        <is>
          <t>Moto 155</t>
        </is>
      </c>
      <c r="D204" s="6" t="inlineStr">
        <is>
          <t>Patio de Motos</t>
        </is>
      </c>
      <c r="E204" s="22" t="n">
        <v>1.6</v>
      </c>
      <c r="F204" s="14" t="n">
        <v>0.000235</v>
      </c>
      <c r="G204" s="14" t="n">
        <v>0.00013</v>
      </c>
      <c r="H204" s="23" t="inlineStr">
        <is>
          <t>280-215145</t>
        </is>
      </c>
      <c r="I204" s="24">
        <f>IF(H204="","PENDIENTE",IF(LEFT(H204,10)="280-21XXXX","REVISAR","CONFIRMADO"))</f>
        <v/>
      </c>
    </row>
    <row r="205">
      <c r="B205" s="33" t="inlineStr">
        <is>
          <t>Moto Privada (Etapa I)</t>
        </is>
      </c>
      <c r="C205" s="26" t="inlineStr">
        <is>
          <t>Moto 156</t>
        </is>
      </c>
      <c r="D205" s="33" t="inlineStr">
        <is>
          <t>Patio de Motos</t>
        </is>
      </c>
      <c r="E205" s="27" t="n">
        <v>1.6</v>
      </c>
      <c r="F205" s="28" t="n">
        <v>0.000235</v>
      </c>
      <c r="G205" s="28" t="n">
        <v>0.00013</v>
      </c>
      <c r="H205" s="23" t="inlineStr">
        <is>
          <t>280-215146</t>
        </is>
      </c>
      <c r="I205" s="26">
        <f>IF(H205="","PENDIENTE",IF(LEFT(H205,10)="280-21XXXX","REVISAR","CONFIRMADO"))</f>
        <v/>
      </c>
    </row>
    <row r="206">
      <c r="B206" s="6" t="inlineStr">
        <is>
          <t>Moto Privada (Etapa I)</t>
        </is>
      </c>
      <c r="C206" s="21" t="inlineStr">
        <is>
          <t>Moto 157</t>
        </is>
      </c>
      <c r="D206" s="6" t="inlineStr">
        <is>
          <t>Patio de Motos</t>
        </is>
      </c>
      <c r="E206" s="22" t="n">
        <v>1.6</v>
      </c>
      <c r="F206" s="14" t="n">
        <v>0.000235</v>
      </c>
      <c r="G206" s="14" t="n">
        <v>0.00013</v>
      </c>
      <c r="H206" s="23" t="inlineStr">
        <is>
          <t>280-215147</t>
        </is>
      </c>
      <c r="I206" s="24">
        <f>IF(H206="","PENDIENTE",IF(LEFT(H206,10)="280-21XXXX","REVISAR","CONFIRMADO"))</f>
        <v/>
      </c>
    </row>
    <row r="207">
      <c r="B207" s="33" t="inlineStr">
        <is>
          <t>Moto Privada (Etapa I)</t>
        </is>
      </c>
      <c r="C207" s="26" t="inlineStr">
        <is>
          <t>Moto 158</t>
        </is>
      </c>
      <c r="D207" s="33" t="inlineStr">
        <is>
          <t>Patio de Motos</t>
        </is>
      </c>
      <c r="E207" s="27" t="n">
        <v>1.6</v>
      </c>
      <c r="F207" s="28" t="n">
        <v>0.000235</v>
      </c>
      <c r="G207" s="28" t="n">
        <v>0.00013</v>
      </c>
      <c r="H207" s="23" t="inlineStr">
        <is>
          <t>280-215148</t>
        </is>
      </c>
      <c r="I207" s="26">
        <f>IF(H207="","PENDIENTE",IF(LEFT(H207,10)="280-21XXXX","REVISAR","CONFIRMADO"))</f>
        <v/>
      </c>
    </row>
    <row r="208">
      <c r="B208" s="6" t="inlineStr">
        <is>
          <t>Moto Privada (Etapa II)</t>
        </is>
      </c>
      <c r="C208" s="21" t="inlineStr">
        <is>
          <t>Moto 34</t>
        </is>
      </c>
      <c r="D208" s="6" t="inlineStr">
        <is>
          <t>Patio de Motos (Segunda Etapa)</t>
        </is>
      </c>
      <c r="E208" s="22" t="n">
        <v>1.6</v>
      </c>
      <c r="F208" s="14" t="n">
        <v>0.000235</v>
      </c>
      <c r="G208" s="14" t="n">
        <v>0.00013</v>
      </c>
      <c r="H208" s="35" t="inlineStr">
        <is>
          <t>280-226102</t>
        </is>
      </c>
      <c r="I208" s="24" t="inlineStr">
        <is>
          <t>Completada desde bienes santa sofia (2).xlsx</t>
        </is>
      </c>
    </row>
    <row r="209">
      <c r="B209" s="33" t="inlineStr">
        <is>
          <t>Moto Privada (Etapa II)</t>
        </is>
      </c>
      <c r="C209" s="26" t="inlineStr">
        <is>
          <t>Moto 35</t>
        </is>
      </c>
      <c r="D209" s="33" t="inlineStr">
        <is>
          <t>Patio de Motos (Segunda Etapa)</t>
        </is>
      </c>
      <c r="E209" s="27" t="n">
        <v>1.6</v>
      </c>
      <c r="F209" s="28" t="n">
        <v>0.000235</v>
      </c>
      <c r="G209" s="28" t="n">
        <v>0.00013</v>
      </c>
      <c r="H209" s="35" t="inlineStr">
        <is>
          <t>280-226103</t>
        </is>
      </c>
      <c r="I209" s="26" t="inlineStr">
        <is>
          <t>Completada desde bienes santa sofia (2).xlsx</t>
        </is>
      </c>
    </row>
    <row r="210">
      <c r="B210" s="6" t="inlineStr">
        <is>
          <t>Moto Privada (Etapa II)</t>
        </is>
      </c>
      <c r="C210" s="21" t="inlineStr">
        <is>
          <t>Moto 36</t>
        </is>
      </c>
      <c r="D210" s="6" t="inlineStr">
        <is>
          <t>Patio de Motos (Segunda Etapa)</t>
        </is>
      </c>
      <c r="E210" s="22" t="n">
        <v>1.6</v>
      </c>
      <c r="F210" s="14" t="n">
        <v>0.000235</v>
      </c>
      <c r="G210" s="14" t="n">
        <v>0.00013</v>
      </c>
      <c r="H210" s="35" t="inlineStr">
        <is>
          <t>280-226104</t>
        </is>
      </c>
      <c r="I210" s="24" t="inlineStr">
        <is>
          <t>Completada desde bienes santa sofia (2).xlsx</t>
        </is>
      </c>
    </row>
    <row r="211">
      <c r="B211" s="33" t="inlineStr">
        <is>
          <t>Moto Privada (Etapa II)</t>
        </is>
      </c>
      <c r="C211" s="26" t="inlineStr">
        <is>
          <t>Moto 37</t>
        </is>
      </c>
      <c r="D211" s="33" t="inlineStr">
        <is>
          <t>Patio de Motos (Segunda Etapa)</t>
        </is>
      </c>
      <c r="E211" s="27" t="n">
        <v>1.6</v>
      </c>
      <c r="F211" s="28" t="n">
        <v>0.000235</v>
      </c>
      <c r="G211" s="28" t="n">
        <v>0.00013</v>
      </c>
      <c r="H211" s="35" t="inlineStr">
        <is>
          <t>280-226105</t>
        </is>
      </c>
      <c r="I211" s="26" t="inlineStr">
        <is>
          <t>Completada desde bienes santa sofia (2).xlsx</t>
        </is>
      </c>
    </row>
    <row r="212">
      <c r="B212" s="6" t="inlineStr">
        <is>
          <t>Moto Privada (Etapa II)</t>
        </is>
      </c>
      <c r="C212" s="21" t="inlineStr">
        <is>
          <t>Moto 38</t>
        </is>
      </c>
      <c r="D212" s="6" t="inlineStr">
        <is>
          <t>Patio de Motos (Segunda Etapa)</t>
        </is>
      </c>
      <c r="E212" s="22" t="n">
        <v>1.6</v>
      </c>
      <c r="F212" s="14" t="n">
        <v>0.000235</v>
      </c>
      <c r="G212" s="14" t="n">
        <v>0.00013</v>
      </c>
      <c r="H212" s="35" t="inlineStr">
        <is>
          <t>280-226106</t>
        </is>
      </c>
      <c r="I212" s="24" t="inlineStr">
        <is>
          <t>Completada desde bienes santa sofia (2).xlsx</t>
        </is>
      </c>
    </row>
    <row r="213">
      <c r="B213" s="33" t="inlineStr">
        <is>
          <t>Moto Privada (Etapa II)</t>
        </is>
      </c>
      <c r="C213" s="26" t="inlineStr">
        <is>
          <t>Moto 39</t>
        </is>
      </c>
      <c r="D213" s="33" t="inlineStr">
        <is>
          <t>Patio de Motos (Segunda Etapa)</t>
        </is>
      </c>
      <c r="E213" s="27" t="n">
        <v>1.6</v>
      </c>
      <c r="F213" s="28" t="n">
        <v>0.000235</v>
      </c>
      <c r="G213" s="28" t="n">
        <v>0.00013</v>
      </c>
      <c r="H213" s="35" t="inlineStr">
        <is>
          <t>280-226107</t>
        </is>
      </c>
      <c r="I213" s="26" t="inlineStr">
        <is>
          <t>Completada desde bienes santa sofia (2).xlsx</t>
        </is>
      </c>
    </row>
    <row r="214">
      <c r="B214" s="6" t="inlineStr">
        <is>
          <t>Moto Privada (Etapa II)</t>
        </is>
      </c>
      <c r="C214" s="21" t="inlineStr">
        <is>
          <t>Moto 40</t>
        </is>
      </c>
      <c r="D214" s="6" t="inlineStr">
        <is>
          <t>Patio de Motos (Segunda Etapa)</t>
        </is>
      </c>
      <c r="E214" s="22" t="n">
        <v>1.6</v>
      </c>
      <c r="F214" s="14" t="n">
        <v>0.000235</v>
      </c>
      <c r="G214" s="14" t="n">
        <v>0.00013</v>
      </c>
      <c r="H214" s="35" t="inlineStr">
        <is>
          <t>280-226108</t>
        </is>
      </c>
      <c r="I214" s="24" t="inlineStr">
        <is>
          <t>Completada desde bienes santa sofia (2).xlsx</t>
        </is>
      </c>
    </row>
    <row r="215">
      <c r="B215" s="33" t="inlineStr">
        <is>
          <t>Moto Privada (Etapa II)</t>
        </is>
      </c>
      <c r="C215" s="26" t="inlineStr">
        <is>
          <t>Moto 41</t>
        </is>
      </c>
      <c r="D215" s="33" t="inlineStr">
        <is>
          <t>Patio de Motos (Segunda Etapa)</t>
        </is>
      </c>
      <c r="E215" s="27" t="n">
        <v>1.6</v>
      </c>
      <c r="F215" s="28" t="n">
        <v>0.000235</v>
      </c>
      <c r="G215" s="28" t="n">
        <v>0.00013</v>
      </c>
      <c r="H215" s="35" t="inlineStr">
        <is>
          <t>280-226109</t>
        </is>
      </c>
      <c r="I215" s="26" t="inlineStr">
        <is>
          <t>Completada desde bienes santa sofia (2).xlsx</t>
        </is>
      </c>
    </row>
    <row r="216">
      <c r="B216" s="6" t="inlineStr">
        <is>
          <t>Moto Privada (Etapa II)</t>
        </is>
      </c>
      <c r="C216" s="21" t="inlineStr">
        <is>
          <t>Moto 42</t>
        </is>
      </c>
      <c r="D216" s="6" t="inlineStr">
        <is>
          <t>Patio de Motos (Segunda Etapa)</t>
        </is>
      </c>
      <c r="E216" s="22" t="n">
        <v>1.6</v>
      </c>
      <c r="F216" s="14" t="n">
        <v>0.000235</v>
      </c>
      <c r="G216" s="14" t="n">
        <v>0.00013</v>
      </c>
      <c r="H216" s="35" t="inlineStr">
        <is>
          <t>280-226110</t>
        </is>
      </c>
      <c r="I216" s="24" t="inlineStr">
        <is>
          <t>Completada desde bienes santa sofia (2).xlsx</t>
        </is>
      </c>
    </row>
    <row r="217">
      <c r="B217" s="33" t="inlineStr">
        <is>
          <t>Moto Privada (Etapa II)</t>
        </is>
      </c>
      <c r="C217" s="26" t="inlineStr">
        <is>
          <t>Moto 43</t>
        </is>
      </c>
      <c r="D217" s="33" t="inlineStr">
        <is>
          <t>Patio de Motos (Segunda Etapa)</t>
        </is>
      </c>
      <c r="E217" s="27" t="n">
        <v>1.6</v>
      </c>
      <c r="F217" s="28" t="n">
        <v>0.000235</v>
      </c>
      <c r="G217" s="28" t="n">
        <v>0.00013</v>
      </c>
      <c r="H217" s="35" t="inlineStr">
        <is>
          <t>280-226111</t>
        </is>
      </c>
      <c r="I217" s="26" t="inlineStr">
        <is>
          <t>Completada desde bienes santa sofia (2).xlsx</t>
        </is>
      </c>
    </row>
    <row r="218">
      <c r="B218" s="6" t="inlineStr">
        <is>
          <t>Moto Privada (Etapa II)</t>
        </is>
      </c>
      <c r="C218" s="21" t="inlineStr">
        <is>
          <t>Moto 55</t>
        </is>
      </c>
      <c r="D218" s="6" t="inlineStr">
        <is>
          <t>Patio de Motos (Segunda Etapa)</t>
        </is>
      </c>
      <c r="E218" s="22" t="n">
        <v>1.6</v>
      </c>
      <c r="F218" s="14" t="n">
        <v>0.000235</v>
      </c>
      <c r="G218" s="14" t="n">
        <v>0.00013</v>
      </c>
      <c r="H218" s="35" t="inlineStr">
        <is>
          <t>280-226112</t>
        </is>
      </c>
      <c r="I218" s="24" t="inlineStr">
        <is>
          <t>Completada desde bienes santa sofia (2).xlsx</t>
        </is>
      </c>
    </row>
    <row r="219">
      <c r="B219" s="33" t="inlineStr">
        <is>
          <t>Moto Privada (Etapa II)</t>
        </is>
      </c>
      <c r="C219" s="26" t="inlineStr">
        <is>
          <t>Moto 56</t>
        </is>
      </c>
      <c r="D219" s="33" t="inlineStr">
        <is>
          <t>Patio de Motos (Segunda Etapa)</t>
        </is>
      </c>
      <c r="E219" s="27" t="n">
        <v>1.6</v>
      </c>
      <c r="F219" s="28" t="n">
        <v>0.000235</v>
      </c>
      <c r="G219" s="28" t="n">
        <v>0.00013</v>
      </c>
      <c r="H219" s="35" t="inlineStr">
        <is>
          <t>280-226113</t>
        </is>
      </c>
      <c r="I219" s="26" t="inlineStr">
        <is>
          <t>Completada desde bienes santa sofia (2).xlsx</t>
        </is>
      </c>
    </row>
    <row r="220">
      <c r="B220" s="6" t="inlineStr">
        <is>
          <t>Moto Privada (Etapa II)</t>
        </is>
      </c>
      <c r="C220" s="21" t="inlineStr">
        <is>
          <t>Moto 57</t>
        </is>
      </c>
      <c r="D220" s="6" t="inlineStr">
        <is>
          <t>Patio de Motos (Segunda Etapa)</t>
        </is>
      </c>
      <c r="E220" s="22" t="n">
        <v>1.6</v>
      </c>
      <c r="F220" s="14" t="n">
        <v>0.000235</v>
      </c>
      <c r="G220" s="14" t="n">
        <v>0.00013</v>
      </c>
      <c r="H220" s="35" t="inlineStr">
        <is>
          <t>280-226114</t>
        </is>
      </c>
      <c r="I220" s="24" t="inlineStr">
        <is>
          <t>Completada desde bienes santa sofia (2).xlsx</t>
        </is>
      </c>
    </row>
    <row r="221">
      <c r="B221" s="33" t="inlineStr">
        <is>
          <t>Moto Privada (Etapa II)</t>
        </is>
      </c>
      <c r="C221" s="26" t="inlineStr">
        <is>
          <t>Moto 58</t>
        </is>
      </c>
      <c r="D221" s="33" t="inlineStr">
        <is>
          <t>Patio de Motos (Segunda Etapa)</t>
        </is>
      </c>
      <c r="E221" s="27" t="n">
        <v>1.6</v>
      </c>
      <c r="F221" s="28" t="n">
        <v>0.000235</v>
      </c>
      <c r="G221" s="28" t="n">
        <v>0.00013</v>
      </c>
      <c r="H221" s="35" t="inlineStr">
        <is>
          <t>280-226115</t>
        </is>
      </c>
      <c r="I221" s="26" t="inlineStr">
        <is>
          <t>Completada desde bienes santa sofia (2).xlsx</t>
        </is>
      </c>
    </row>
    <row r="222">
      <c r="B222" s="6" t="inlineStr">
        <is>
          <t>Moto Privada (Etapa II)</t>
        </is>
      </c>
      <c r="C222" s="21" t="inlineStr">
        <is>
          <t>Moto 59</t>
        </is>
      </c>
      <c r="D222" s="6" t="inlineStr">
        <is>
          <t>Patio de Motos (Segunda Etapa)</t>
        </is>
      </c>
      <c r="E222" s="22" t="n">
        <v>1.6</v>
      </c>
      <c r="F222" s="14" t="n">
        <v>0.000235</v>
      </c>
      <c r="G222" s="14" t="n">
        <v>0.00013</v>
      </c>
      <c r="H222" s="35" t="inlineStr">
        <is>
          <t>280-226116</t>
        </is>
      </c>
      <c r="I222" s="24" t="inlineStr">
        <is>
          <t>Completada desde bienes santa sofia (2).xlsx</t>
        </is>
      </c>
    </row>
    <row r="223">
      <c r="B223" s="33" t="inlineStr">
        <is>
          <t>Moto Privada (Etapa II)</t>
        </is>
      </c>
      <c r="C223" s="26" t="inlineStr">
        <is>
          <t>Moto 60</t>
        </is>
      </c>
      <c r="D223" s="33" t="inlineStr">
        <is>
          <t>Patio de Motos (Segunda Etapa)</t>
        </is>
      </c>
      <c r="E223" s="27" t="n">
        <v>1.6</v>
      </c>
      <c r="F223" s="28" t="n">
        <v>0.000235</v>
      </c>
      <c r="G223" s="28" t="n">
        <v>0.00013</v>
      </c>
      <c r="H223" s="36" t="inlineStr">
        <is>
          <t>280-21XXXX</t>
        </is>
      </c>
      <c r="I223" s="26" t="inlineStr">
        <is>
          <t>AMBIGUA: revisar manualmente opciones 280-226117, 280-226125</t>
        </is>
      </c>
    </row>
    <row r="224">
      <c r="B224" s="6" t="inlineStr">
        <is>
          <t>Moto Privada (Etapa II)</t>
        </is>
      </c>
      <c r="C224" s="21" t="inlineStr">
        <is>
          <t>Moto 61</t>
        </is>
      </c>
      <c r="D224" s="6" t="inlineStr">
        <is>
          <t>Patio de Motos (Segunda Etapa)</t>
        </is>
      </c>
      <c r="E224" s="22" t="n">
        <v>1.6</v>
      </c>
      <c r="F224" s="14" t="n">
        <v>0.000235</v>
      </c>
      <c r="G224" s="14" t="n">
        <v>0.00013</v>
      </c>
      <c r="H224" s="35" t="inlineStr">
        <is>
          <t>280-226118</t>
        </is>
      </c>
      <c r="I224" s="24" t="inlineStr">
        <is>
          <t>Completada desde bienes santa sofia (2).xlsx</t>
        </is>
      </c>
    </row>
    <row r="225">
      <c r="B225" s="33" t="inlineStr">
        <is>
          <t>Moto Privada (Etapa II)</t>
        </is>
      </c>
      <c r="C225" s="26" t="inlineStr">
        <is>
          <t>Moto 62</t>
        </is>
      </c>
      <c r="D225" s="33" t="inlineStr">
        <is>
          <t>Patio de Motos (Segunda Etapa)</t>
        </is>
      </c>
      <c r="E225" s="27" t="n">
        <v>1.6</v>
      </c>
      <c r="F225" s="28" t="n">
        <v>0.000235</v>
      </c>
      <c r="G225" s="28" t="n">
        <v>0.00013</v>
      </c>
      <c r="H225" s="35" t="inlineStr">
        <is>
          <t>280-226119</t>
        </is>
      </c>
      <c r="I225" s="26" t="inlineStr">
        <is>
          <t>Completada desde bienes santa sofia (2).xlsx</t>
        </is>
      </c>
    </row>
    <row r="226">
      <c r="B226" s="6" t="inlineStr">
        <is>
          <t>Moto Privada (Etapa II)</t>
        </is>
      </c>
      <c r="C226" s="21" t="inlineStr">
        <is>
          <t>Moto 63</t>
        </is>
      </c>
      <c r="D226" s="6" t="inlineStr">
        <is>
          <t>Patio de Motos (Segunda Etapa)</t>
        </is>
      </c>
      <c r="E226" s="22" t="n">
        <v>1.6</v>
      </c>
      <c r="F226" s="14" t="n">
        <v>0.000235</v>
      </c>
      <c r="G226" s="14" t="n">
        <v>0.00013</v>
      </c>
      <c r="H226" s="35" t="inlineStr">
        <is>
          <t>280-226120</t>
        </is>
      </c>
      <c r="I226" s="24" t="inlineStr">
        <is>
          <t>Completada desde bienes santa sofia (2).xlsx</t>
        </is>
      </c>
    </row>
    <row r="227">
      <c r="B227" s="33" t="inlineStr">
        <is>
          <t>Moto Privada (Etapa II)</t>
        </is>
      </c>
      <c r="C227" s="26" t="inlineStr">
        <is>
          <t>Moto 64</t>
        </is>
      </c>
      <c r="D227" s="33" t="inlineStr">
        <is>
          <t>Patio de Motos (Segunda Etapa)</t>
        </is>
      </c>
      <c r="E227" s="27" t="n">
        <v>1.6</v>
      </c>
      <c r="F227" s="28" t="n">
        <v>0.000235</v>
      </c>
      <c r="G227" s="28" t="n">
        <v>0.00013</v>
      </c>
      <c r="H227" s="35" t="inlineStr">
        <is>
          <t>280-226121</t>
        </is>
      </c>
      <c r="I227" s="26" t="inlineStr">
        <is>
          <t>Completada desde bienes santa sofia (2).xlsx</t>
        </is>
      </c>
    </row>
    <row r="228">
      <c r="B228" s="6" t="inlineStr">
        <is>
          <t>Moto Privada (Etapa II)</t>
        </is>
      </c>
      <c r="C228" s="21" t="inlineStr">
        <is>
          <t>Moto 65</t>
        </is>
      </c>
      <c r="D228" s="6" t="inlineStr">
        <is>
          <t>Patio de Motos (Segunda Etapa)</t>
        </is>
      </c>
      <c r="E228" s="22" t="n">
        <v>1.6</v>
      </c>
      <c r="F228" s="14" t="n">
        <v>0.000235</v>
      </c>
      <c r="G228" s="14" t="n">
        <v>0.00013</v>
      </c>
      <c r="H228" s="34" t="inlineStr">
        <is>
          <t>280-21XXXX</t>
        </is>
      </c>
      <c r="I228" s="24" t="inlineStr">
        <is>
          <t>PENDIENTE: administración no tiene matrícula; residente debe digitar manualmente</t>
        </is>
      </c>
    </row>
    <row r="229">
      <c r="B229" s="33" t="inlineStr">
        <is>
          <t>Moto Privada (Etapa II)</t>
        </is>
      </c>
      <c r="C229" s="26" t="inlineStr">
        <is>
          <t>Moto 66</t>
        </is>
      </c>
      <c r="D229" s="33" t="inlineStr">
        <is>
          <t>Patio de Motos (Segunda Etapa)</t>
        </is>
      </c>
      <c r="E229" s="27" t="n">
        <v>1.6</v>
      </c>
      <c r="F229" s="28" t="n">
        <v>0.000235</v>
      </c>
      <c r="G229" s="28" t="n">
        <v>0.00013</v>
      </c>
      <c r="H229" s="34" t="inlineStr">
        <is>
          <t>280-21XXXX</t>
        </is>
      </c>
      <c r="I229" s="26" t="inlineStr">
        <is>
          <t>PENDIENTE: administración no tiene matrícula; residente debe digitar manualmente</t>
        </is>
      </c>
    </row>
    <row r="230">
      <c r="B230" s="6" t="inlineStr">
        <is>
          <t>Moto Privada (Etapa II)</t>
        </is>
      </c>
      <c r="C230" s="21" t="inlineStr">
        <is>
          <t>Moto 67</t>
        </is>
      </c>
      <c r="D230" s="6" t="inlineStr">
        <is>
          <t>Patio de Motos (Segunda Etapa)</t>
        </is>
      </c>
      <c r="E230" s="22" t="n">
        <v>1.6</v>
      </c>
      <c r="F230" s="14" t="n">
        <v>0.000235</v>
      </c>
      <c r="G230" s="14" t="n">
        <v>0.00013</v>
      </c>
      <c r="H230" s="35" t="inlineStr">
        <is>
          <t>280-226124</t>
        </is>
      </c>
      <c r="I230" s="24" t="inlineStr">
        <is>
          <t>Completada desde bienes santa sofia (2).xlsx</t>
        </is>
      </c>
    </row>
    <row r="231">
      <c r="B231" s="33" t="inlineStr">
        <is>
          <t>Moto Privada (Etapa II)</t>
        </is>
      </c>
      <c r="C231" s="26" t="inlineStr">
        <is>
          <t>Moto 68</t>
        </is>
      </c>
      <c r="D231" s="33" t="inlineStr">
        <is>
          <t>Patio de Motos (Segunda Etapa)</t>
        </is>
      </c>
      <c r="E231" s="27" t="n">
        <v>1.6</v>
      </c>
      <c r="F231" s="28" t="n">
        <v>0.000235</v>
      </c>
      <c r="G231" s="28" t="n">
        <v>0.00013</v>
      </c>
      <c r="H231" s="34" t="inlineStr">
        <is>
          <t>280-21XXXX</t>
        </is>
      </c>
      <c r="I231" s="26" t="inlineStr">
        <is>
          <t>PENDIENTE: administración no tiene matrícula; residente debe digitar manualmente</t>
        </is>
      </c>
    </row>
    <row r="232">
      <c r="B232" s="6" t="inlineStr">
        <is>
          <t>Moto Privada (Etapa II)</t>
        </is>
      </c>
      <c r="C232" s="21" t="inlineStr">
        <is>
          <t>Moto 69</t>
        </is>
      </c>
      <c r="D232" s="6" t="inlineStr">
        <is>
          <t>Patio de Motos (Segunda Etapa)</t>
        </is>
      </c>
      <c r="E232" s="22" t="n">
        <v>1.6</v>
      </c>
      <c r="F232" s="14" t="n">
        <v>0.000235</v>
      </c>
      <c r="G232" s="14" t="n">
        <v>0.00013</v>
      </c>
      <c r="H232" s="34" t="inlineStr">
        <is>
          <t>280-21XXXX</t>
        </is>
      </c>
      <c r="I232" s="24" t="inlineStr">
        <is>
          <t>PENDIENTE: administración no tiene matrícula; residente debe digitar manualmente</t>
        </is>
      </c>
    </row>
    <row r="233">
      <c r="B233" s="33" t="inlineStr">
        <is>
          <t>Moto Privada (Etapa II)</t>
        </is>
      </c>
      <c r="C233" s="26" t="inlineStr">
        <is>
          <t>Moto 70</t>
        </is>
      </c>
      <c r="D233" s="33" t="inlineStr">
        <is>
          <t>Patio de Motos (Segunda Etapa)</t>
        </is>
      </c>
      <c r="E233" s="27" t="n">
        <v>1.6</v>
      </c>
      <c r="F233" s="28" t="n">
        <v>0.000235</v>
      </c>
      <c r="G233" s="28" t="n">
        <v>0.00013</v>
      </c>
      <c r="H233" s="35" t="inlineStr">
        <is>
          <t>280-226127</t>
        </is>
      </c>
      <c r="I233" s="26" t="inlineStr">
        <is>
          <t>Completada desde bienes santa sofia (2).xlsx</t>
        </is>
      </c>
    </row>
    <row r="234">
      <c r="B234" s="6" t="inlineStr">
        <is>
          <t>Moto Privada (Etapa II)</t>
        </is>
      </c>
      <c r="C234" s="21" t="inlineStr">
        <is>
          <t>Moto 71</t>
        </is>
      </c>
      <c r="D234" s="6" t="inlineStr">
        <is>
          <t>Patio de Motos (Segunda Etapa)</t>
        </is>
      </c>
      <c r="E234" s="22" t="n">
        <v>1.6</v>
      </c>
      <c r="F234" s="14" t="n">
        <v>0.000235</v>
      </c>
      <c r="G234" s="14" t="n">
        <v>0.00013</v>
      </c>
      <c r="H234" s="35" t="inlineStr">
        <is>
          <t>280-226128</t>
        </is>
      </c>
      <c r="I234" s="24" t="inlineStr">
        <is>
          <t>Completada desde bienes santa sofia (2).xlsx</t>
        </is>
      </c>
    </row>
    <row r="235">
      <c r="B235" s="33" t="inlineStr">
        <is>
          <t>Moto Privada (Etapa II)</t>
        </is>
      </c>
      <c r="C235" s="26" t="inlineStr">
        <is>
          <t>Moto 72</t>
        </is>
      </c>
      <c r="D235" s="33" t="inlineStr">
        <is>
          <t>Patio de Motos (Segunda Etapa)</t>
        </is>
      </c>
      <c r="E235" s="27" t="n">
        <v>1.6</v>
      </c>
      <c r="F235" s="28" t="n">
        <v>0.000235</v>
      </c>
      <c r="G235" s="28" t="n">
        <v>0.00013</v>
      </c>
      <c r="H235" s="35" t="inlineStr">
        <is>
          <t>280-226129</t>
        </is>
      </c>
      <c r="I235" s="26" t="inlineStr">
        <is>
          <t>Completada desde bienes santa sofia (2).xlsx</t>
        </is>
      </c>
    </row>
    <row r="236">
      <c r="B236" s="6" t="inlineStr">
        <is>
          <t>Moto Privada (Etapa II)</t>
        </is>
      </c>
      <c r="C236" s="21" t="inlineStr">
        <is>
          <t>Moto 73</t>
        </is>
      </c>
      <c r="D236" s="6" t="inlineStr">
        <is>
          <t>Patio de Motos (Segunda Etapa)</t>
        </is>
      </c>
      <c r="E236" s="22" t="n">
        <v>1.6</v>
      </c>
      <c r="F236" s="14" t="n">
        <v>0.000235</v>
      </c>
      <c r="G236" s="14" t="n">
        <v>0.00013</v>
      </c>
      <c r="H236" s="35" t="inlineStr">
        <is>
          <t>280-226130</t>
        </is>
      </c>
      <c r="I236" s="24" t="inlineStr">
        <is>
          <t>Completada desde bienes santa sofia (2).xlsx</t>
        </is>
      </c>
    </row>
    <row r="237">
      <c r="B237" s="33" t="inlineStr">
        <is>
          <t>Moto Privada (Etapa II)</t>
        </is>
      </c>
      <c r="C237" s="26" t="inlineStr">
        <is>
          <t>Moto 74</t>
        </is>
      </c>
      <c r="D237" s="33" t="inlineStr">
        <is>
          <t>Patio de Motos (Segunda Etapa)</t>
        </is>
      </c>
      <c r="E237" s="27" t="n">
        <v>1.6</v>
      </c>
      <c r="F237" s="28" t="n">
        <v>0.000235</v>
      </c>
      <c r="G237" s="28" t="n">
        <v>0.00013</v>
      </c>
      <c r="H237" s="35" t="inlineStr">
        <is>
          <t>280-226131</t>
        </is>
      </c>
      <c r="I237" s="26" t="inlineStr">
        <is>
          <t>Completada desde bienes santa sofia (2).xlsx</t>
        </is>
      </c>
    </row>
    <row r="238">
      <c r="B238" s="6" t="inlineStr">
        <is>
          <t>Moto Privada (Etapa II)</t>
        </is>
      </c>
      <c r="C238" s="21" t="inlineStr">
        <is>
          <t>Moto 75</t>
        </is>
      </c>
      <c r="D238" s="6" t="inlineStr">
        <is>
          <t>Patio de Motos (Segunda Etapa)</t>
        </is>
      </c>
      <c r="E238" s="22" t="n">
        <v>1.6</v>
      </c>
      <c r="F238" s="14" t="n">
        <v>0.000235</v>
      </c>
      <c r="G238" s="14" t="n">
        <v>0.00013</v>
      </c>
      <c r="H238" s="35" t="inlineStr">
        <is>
          <t>280-226132</t>
        </is>
      </c>
      <c r="I238" s="24" t="inlineStr">
        <is>
          <t>Completada desde bienes santa sofia (2).xlsx</t>
        </is>
      </c>
    </row>
    <row r="239">
      <c r="B239" s="33" t="inlineStr">
        <is>
          <t>Moto Privada (Etapa II)</t>
        </is>
      </c>
      <c r="C239" s="26" t="inlineStr">
        <is>
          <t>Moto 76</t>
        </is>
      </c>
      <c r="D239" s="33" t="inlineStr">
        <is>
          <t>Patio de Motos (Segunda Etapa)</t>
        </is>
      </c>
      <c r="E239" s="27" t="n">
        <v>1.6</v>
      </c>
      <c r="F239" s="28" t="n">
        <v>0.000235</v>
      </c>
      <c r="G239" s="28" t="n">
        <v>0.00013</v>
      </c>
      <c r="H239" s="35" t="inlineStr">
        <is>
          <t>280-226133</t>
        </is>
      </c>
      <c r="I239" s="26" t="inlineStr">
        <is>
          <t>Completada desde bienes santa sofia (2).xlsx</t>
        </is>
      </c>
    </row>
    <row r="240">
      <c r="B240" s="16" t="inlineStr">
        <is>
          <t>TOTAL PARQUEADEROS (234)</t>
        </is>
      </c>
      <c r="C240" s="29" t="inlineStr"/>
      <c r="D240" s="29" t="inlineStr"/>
      <c r="E240" s="30">
        <f>SUM(E6:E239)</f>
        <v/>
      </c>
      <c r="F240" s="31">
        <f>SUM(F6:F239)</f>
        <v/>
      </c>
      <c r="G240" s="31">
        <f>SUM(G6:G239)</f>
        <v/>
      </c>
      <c r="H240" s="29" t="inlineStr"/>
      <c r="I240" s="32">
        <f>COUNTIF(I6:I239, "CONFIRMADO") &amp; " de 234"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2026-09-08T03:51:37Z</dcterms:created>
  <dcterms:modified xmlns:dcterms="http://purl.org/dc/terms/" xmlns:xsi="http://www.w3.org/2001/XMLSchema-instance" xsi:type="dcterms:W3CDTF">2026-09-08T04:18:23Z</dcterms:modified>
</cp:coreProperties>
</file>